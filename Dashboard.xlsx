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li20254952-my.sharepoint.com/personal/kv1057_365tr_top/Documents/Desktop/DO NOT OPEN/Jarvis/Novi Tech/Career Accelerator Program/Project Phase/Project 1 [Excel]/Final/Git hub/Dashboard/"/>
    </mc:Choice>
  </mc:AlternateContent>
  <xr:revisionPtr revIDLastSave="993" documentId="8_{E8696334-4638-4A57-91D6-AFF4C232E43B}" xr6:coauthVersionLast="47" xr6:coauthVersionMax="47" xr10:uidLastSave="{3570826C-104B-40ED-AB38-3CA09D0C6609}"/>
  <bookViews>
    <workbookView xWindow="-110" yWindow="-110" windowWidth="19420" windowHeight="11020" activeTab="3" xr2:uid="{D286C6E2-294A-44EF-8A69-57ECF1E41DB7}"/>
  </bookViews>
  <sheets>
    <sheet name="Dataset" sheetId="1" r:id="rId1"/>
    <sheet name="KPI CARDS" sheetId="2" r:id="rId2"/>
    <sheet name="PIVOTS" sheetId="3" r:id="rId3"/>
    <sheet name="DASHBOARD" sheetId="4" r:id="rId4"/>
  </sheets>
  <definedNames>
    <definedName name="_xlnm._FilterDatabase" localSheetId="0" hidden="1">Dataset!$A$1:$P$1001</definedName>
    <definedName name="Slicer_Category">#N/A</definedName>
    <definedName name="Slicer_Country">#N/A</definedName>
    <definedName name="Slicer_Region">#N/A</definedName>
    <definedName name="Slicer_Shipping_Mode">#N/A</definedName>
  </definedNames>
  <calcPr calcId="191029"/>
  <pivotCaches>
    <pivotCache cacheId="1"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3" l="1"/>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B29" i="3"/>
  <c r="B37" i="3"/>
  <c r="B30" i="3"/>
  <c r="B28" i="3"/>
  <c r="B34" i="3"/>
  <c r="B36" i="3"/>
  <c r="B32" i="3"/>
  <c r="B33" i="3"/>
  <c r="B35" i="3"/>
  <c r="B31" i="3"/>
  <c r="J13" i="3"/>
  <c r="J19" i="3" s="1"/>
  <c r="J11" i="3"/>
  <c r="J14" i="3" s="1"/>
  <c r="J21" i="3" s="1"/>
  <c r="D3" i="2"/>
  <c r="E3" i="2"/>
  <c r="C31" i="3"/>
  <c r="C35" i="3"/>
  <c r="C33" i="3"/>
  <c r="C32" i="3"/>
  <c r="C36" i="3"/>
  <c r="C34" i="3"/>
  <c r="C28" i="3"/>
  <c r="C30" i="3"/>
  <c r="C37" i="3"/>
  <c r="C29" i="3"/>
  <c r="G10" i="2"/>
  <c r="G9" i="2" l="1"/>
</calcChain>
</file>

<file path=xl/sharedStrings.xml><?xml version="1.0" encoding="utf-8"?>
<sst xmlns="http://schemas.openxmlformats.org/spreadsheetml/2006/main" count="6169" uniqueCount="112">
  <si>
    <t>Supplier_Name</t>
  </si>
  <si>
    <t>Country</t>
  </si>
  <si>
    <t>Region</t>
  </si>
  <si>
    <t>On_Time_Delivery_Rate</t>
  </si>
  <si>
    <t>USA</t>
  </si>
  <si>
    <t>West</t>
  </si>
  <si>
    <t>China</t>
  </si>
  <si>
    <t>South</t>
  </si>
  <si>
    <t>India</t>
  </si>
  <si>
    <t>North</t>
  </si>
  <si>
    <t>Canada</t>
  </si>
  <si>
    <t>East</t>
  </si>
  <si>
    <t>Denmark</t>
  </si>
  <si>
    <t>UK</t>
  </si>
  <si>
    <t>Germany</t>
  </si>
  <si>
    <t>Brazil</t>
  </si>
  <si>
    <t>Alpha Alpha Corp</t>
  </si>
  <si>
    <t>Vertex Beta LLC</t>
  </si>
  <si>
    <t>Eco Gamma LLC</t>
  </si>
  <si>
    <t>Beta Delta LLC</t>
  </si>
  <si>
    <t>Beta Eco Inc</t>
  </si>
  <si>
    <t>Beta Nano Corp</t>
  </si>
  <si>
    <t>Pioneer Omega Ltd</t>
  </si>
  <si>
    <t>Ultra Quantum Ltd</t>
  </si>
  <si>
    <t>Apex Apex Ltd</t>
  </si>
  <si>
    <t>Beta Fusion GmbH</t>
  </si>
  <si>
    <t>Alpha Nova Ltd</t>
  </si>
  <si>
    <t>Prime Nano Ltd</t>
  </si>
  <si>
    <t>Apex Eco Ltd</t>
  </si>
  <si>
    <t>Pioneer Ultra GmbH</t>
  </si>
  <si>
    <t>Apex Prime Ltd</t>
  </si>
  <si>
    <t>Beta Pioneer Inc</t>
  </si>
  <si>
    <t>Gamma Quantum Inc</t>
  </si>
  <si>
    <t>Nano Ultra Corp</t>
  </si>
  <si>
    <t>Late</t>
  </si>
  <si>
    <t>Economy</t>
  </si>
  <si>
    <t>Standard</t>
  </si>
  <si>
    <t>Express</t>
  </si>
  <si>
    <t>Same Day</t>
  </si>
  <si>
    <t>On Time</t>
  </si>
  <si>
    <t>Profit_Per_Order</t>
  </si>
  <si>
    <t>Late_Delivery_Risk_Flag</t>
  </si>
  <si>
    <t>Delivery_Status</t>
  </si>
  <si>
    <t>Shipping_Mode</t>
  </si>
  <si>
    <t>Order_Date</t>
  </si>
  <si>
    <t>Sport</t>
  </si>
  <si>
    <t>Apparel</t>
  </si>
  <si>
    <t>Beauty</t>
  </si>
  <si>
    <t>Industrial</t>
  </si>
  <si>
    <t>Home</t>
  </si>
  <si>
    <t>Food</t>
  </si>
  <si>
    <t>Electronics</t>
  </si>
  <si>
    <t>Category</t>
  </si>
  <si>
    <t>Total_Cost</t>
  </si>
  <si>
    <t>Delivery_Date_Actual</t>
  </si>
  <si>
    <t>Delivery_Date_Planned</t>
  </si>
  <si>
    <t>Unit_Cost</t>
  </si>
  <si>
    <t>Delivery Delay</t>
  </si>
  <si>
    <t>Delay Flag</t>
  </si>
  <si>
    <t>Cost Efficiency</t>
  </si>
  <si>
    <t>Cost Score</t>
  </si>
  <si>
    <t>Delivery Score</t>
  </si>
  <si>
    <t>Risk Score</t>
  </si>
  <si>
    <t>Vendor Score</t>
  </si>
  <si>
    <t>Total Procurement Spend</t>
  </si>
  <si>
    <t>Sum of Vendor Score</t>
  </si>
  <si>
    <t>Row Labels</t>
  </si>
  <si>
    <t>Grand Total</t>
  </si>
  <si>
    <t>Highest Profit Vendor</t>
  </si>
  <si>
    <t>Sum of Total_Cost</t>
  </si>
  <si>
    <t>Average of On_Time_Delivery_Rate</t>
  </si>
  <si>
    <t>Average of Vendor Score</t>
  </si>
  <si>
    <t>Average of Delivery Delay</t>
  </si>
  <si>
    <t>ABC</t>
  </si>
  <si>
    <t>XYZ</t>
  </si>
  <si>
    <t>AAA</t>
  </si>
  <si>
    <t>BBB</t>
  </si>
  <si>
    <t>YYY</t>
  </si>
  <si>
    <t>ZZZ</t>
  </si>
  <si>
    <t>CCC</t>
  </si>
  <si>
    <t>XAB</t>
  </si>
  <si>
    <t>CAB</t>
  </si>
  <si>
    <t>DAX</t>
  </si>
  <si>
    <t xml:space="preserve"> 📢 INSIGHTS</t>
  </si>
  <si>
    <t>→ Strong cost + delivery + profit</t>
  </si>
  <si>
    <t>→ Poor reliability / high cost</t>
  </si>
  <si>
    <t>Avg Cost</t>
  </si>
  <si>
    <t>Avg Delivery Rate</t>
  </si>
  <si>
    <t>Calculated Area</t>
  </si>
  <si>
    <t>Cost Score * 0.3</t>
  </si>
  <si>
    <t>Delivery Score * 0.3</t>
  </si>
  <si>
    <t>Risk Score * 0.2</t>
  </si>
  <si>
    <t>Profit Score * 0.2</t>
  </si>
  <si>
    <t>Vendor Performance Score</t>
  </si>
  <si>
    <t>Profit Score</t>
  </si>
  <si>
    <t>Vendor Name</t>
  </si>
  <si>
    <t>KPIS</t>
  </si>
  <si>
    <t>Some Needed calculation for KPIS</t>
  </si>
  <si>
    <t>Best Vendor</t>
  </si>
  <si>
    <t>Nova</t>
  </si>
  <si>
    <t>Nexa</t>
  </si>
  <si>
    <t>Apex</t>
  </si>
  <si>
    <t>Vertex</t>
  </si>
  <si>
    <t>Orion</t>
  </si>
  <si>
    <t>Zenith</t>
  </si>
  <si>
    <t>Sigma</t>
  </si>
  <si>
    <t>Prime</t>
  </si>
  <si>
    <t>Falcon</t>
  </si>
  <si>
    <t>Vector</t>
  </si>
  <si>
    <t>Profit Margin</t>
  </si>
  <si>
    <t>Vendor</t>
  </si>
  <si>
    <t>Average of Profit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</si>
</sst>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haroni"/>
      <charset val="177"/>
    </font>
    <font>
      <b/>
      <sz val="11"/>
      <color theme="1"/>
      <name val="Times New Roman"/>
      <family val="1"/>
    </font>
    <font>
      <b/>
      <sz val="11"/>
      <color theme="0"/>
      <name val="Times New Roman"/>
      <family val="1"/>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rgb="FFFF0000"/>
        <bgColor indexed="64"/>
      </patternFill>
    </fill>
    <fill>
      <patternFill patternType="solid">
        <fgColor rgb="FF7030A0"/>
        <bgColor indexed="64"/>
      </patternFill>
    </fill>
    <fill>
      <patternFill patternType="solid">
        <fgColor theme="6" tint="0.39997558519241921"/>
        <bgColor indexed="64"/>
      </patternFill>
    </fill>
    <fill>
      <patternFill patternType="solid">
        <fgColor rgb="FFFFFF00"/>
        <bgColor indexed="64"/>
      </patternFill>
    </fill>
    <fill>
      <patternFill patternType="solid">
        <fgColor theme="3" tint="0.89999084444715716"/>
        <bgColor indexed="64"/>
      </patternFill>
    </fill>
    <fill>
      <patternFill patternType="solid">
        <fgColor theme="4"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6">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0" fontId="0" fillId="33" borderId="0" xfId="0" applyFill="1"/>
    <xf numFmtId="0" fontId="0" fillId="34" borderId="0" xfId="0" applyFill="1"/>
    <xf numFmtId="0" fontId="0" fillId="35" borderId="0" xfId="0" applyFill="1"/>
    <xf numFmtId="9" fontId="0" fillId="0" borderId="0" xfId="42" applyFont="1"/>
    <xf numFmtId="9" fontId="0" fillId="0" borderId="0" xfId="0" pivotButton="1" applyNumberFormat="1"/>
    <xf numFmtId="9" fontId="0" fillId="0" borderId="0" xfId="0" applyNumberFormat="1" applyAlignment="1">
      <alignment horizontal="left"/>
    </xf>
    <xf numFmtId="0" fontId="18" fillId="0" borderId="0" xfId="0" applyFont="1"/>
    <xf numFmtId="0" fontId="0" fillId="36" borderId="0" xfId="0" applyFill="1"/>
    <xf numFmtId="0" fontId="14" fillId="0" borderId="0" xfId="0" applyFont="1"/>
    <xf numFmtId="2" fontId="0" fillId="0" borderId="0" xfId="0" applyNumberFormat="1"/>
    <xf numFmtId="0" fontId="0" fillId="37" borderId="12" xfId="0" applyFill="1" applyBorder="1"/>
    <xf numFmtId="0" fontId="0" fillId="0" borderId="12" xfId="0" applyBorder="1" applyAlignment="1">
      <alignment horizontal="left"/>
    </xf>
    <xf numFmtId="9" fontId="0" fillId="36" borderId="13" xfId="42" applyFont="1" applyFill="1" applyBorder="1"/>
    <xf numFmtId="9" fontId="0" fillId="36" borderId="14" xfId="42" applyFont="1" applyFill="1" applyBorder="1"/>
    <xf numFmtId="9" fontId="0" fillId="36" borderId="15" xfId="42" applyFont="1" applyFill="1" applyBorder="1"/>
    <xf numFmtId="9" fontId="0" fillId="36" borderId="16" xfId="42" applyFont="1" applyFill="1" applyBorder="1"/>
    <xf numFmtId="0" fontId="0" fillId="36" borderId="13" xfId="0" applyFill="1" applyBorder="1"/>
    <xf numFmtId="9" fontId="0" fillId="0" borderId="0" xfId="42" applyFont="1" applyFill="1"/>
    <xf numFmtId="9" fontId="0" fillId="0" borderId="0" xfId="42" applyFont="1" applyFill="1" applyBorder="1"/>
    <xf numFmtId="0" fontId="0" fillId="37" borderId="12" xfId="0" applyFill="1" applyBorder="1" applyAlignment="1">
      <alignment horizontal="center"/>
    </xf>
    <xf numFmtId="164" fontId="0" fillId="0" borderId="12" xfId="0" applyNumberFormat="1" applyBorder="1"/>
    <xf numFmtId="1" fontId="0" fillId="0" borderId="12" xfId="0" applyNumberFormat="1" applyBorder="1"/>
    <xf numFmtId="0" fontId="0" fillId="0" borderId="12" xfId="0" applyBorder="1"/>
    <xf numFmtId="9" fontId="0" fillId="0" borderId="12" xfId="0" applyNumberFormat="1" applyBorder="1"/>
    <xf numFmtId="0" fontId="19" fillId="38" borderId="12" xfId="0" applyFont="1" applyFill="1" applyBorder="1"/>
    <xf numFmtId="0" fontId="20" fillId="39" borderId="12" xfId="0" applyFont="1" applyFill="1" applyBorder="1" applyAlignment="1">
      <alignment horizontal="center"/>
    </xf>
    <xf numFmtId="0" fontId="20" fillId="39" borderId="17" xfId="0" applyFont="1" applyFill="1" applyBorder="1" applyAlignment="1">
      <alignment horizontal="center"/>
    </xf>
    <xf numFmtId="0" fontId="20" fillId="39" borderId="10" xfId="0" applyFont="1" applyFill="1" applyBorder="1" applyAlignment="1">
      <alignment horizontal="center"/>
    </xf>
    <xf numFmtId="0" fontId="20" fillId="39" borderId="11" xfId="0" applyFont="1" applyFill="1" applyBorder="1" applyAlignment="1">
      <alignment horizontal="center"/>
    </xf>
    <xf numFmtId="0" fontId="14"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8">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name val="Times New Roman"/>
        <family val="1"/>
        <scheme val="none"/>
      </font>
    </dxf>
    <dxf>
      <font>
        <b/>
      </font>
    </dxf>
    <dxf>
      <fill>
        <patternFill patternType="solid">
          <bgColor theme="3" tint="0.89999084444715716"/>
        </patternFill>
      </fill>
    </dxf>
    <dxf>
      <numFmt numFmtId="1"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name val="Times New Roman"/>
        <family val="1"/>
        <scheme val="none"/>
      </font>
    </dxf>
    <dxf>
      <font>
        <b/>
      </font>
    </dxf>
    <dxf>
      <fill>
        <patternFill patternType="solid">
          <bgColor theme="3" tint="0.89999084444715716"/>
        </patternFill>
      </fill>
    </dxf>
    <dxf>
      <numFmt numFmtId="164" formatCode="&quot;₹&quot;\ #,##0"/>
    </dxf>
    <dxf>
      <numFmt numFmtId="19" formatCode="dd/mm/yyyy"/>
    </dxf>
    <dxf>
      <numFmt numFmtId="19" formatCode="dd/mm/yyyy"/>
    </dxf>
    <dxf>
      <numFmt numFmtId="19" formatCode="dd/mm/yyyy"/>
    </dxf>
    <dxf>
      <alignment horizontal="left" vertical="bottom" textRotation="0" wrapText="0" indent="0" justifyLastLine="0" shrinkToFit="0" readingOrder="0"/>
    </dxf>
    <dxf>
      <numFmt numFmtId="13" formatCode="0%"/>
    </dxf>
    <dxf>
      <numFmt numFmtId="13" formatCode="0%"/>
    </dxf>
    <dxf>
      <numFmt numFmtId="13" formatCode="0%"/>
    </dxf>
    <dxf>
      <numFmt numFmtId="13" formatCode="0%"/>
    </dxf>
    <dxf>
      <numFmt numFmtId="13" formatCode="0%"/>
    </dxf>
    <dxf>
      <numFmt numFmtId="13" formatCode="0%"/>
    </dxf>
    <dxf>
      <fill>
        <patternFill>
          <bgColor theme="1"/>
        </patternFill>
      </fill>
    </dxf>
    <dxf>
      <fill>
        <patternFill>
          <bgColor theme="1"/>
        </patternFill>
      </fill>
    </dxf>
  </dxfs>
  <tableStyles count="3" defaultTableStyle="TableStyleMedium2" defaultPivotStyle="PivotStyleLight16">
    <tableStyle name="Slicer Style 1" pivot="0" table="0" count="1" xr9:uid="{19C813C5-1C91-47B0-848F-3393FCF75CAE}"/>
    <tableStyle name="Slicer Style 2" pivot="0" table="0" count="2" xr9:uid="{916EC724-C7C7-48F8-A767-CF5E276ACCD8}">
      <tableStyleElement type="wholeTable" dxfId="27"/>
    </tableStyle>
    <tableStyle name="Slicer Style 2 2" pivot="0" table="0" count="8" xr9:uid="{FFA3685E-B98E-4EC5-A99A-9B314EB718E8}">
      <tableStyleElement type="wholeTable" dxfId="26"/>
    </tableStyle>
  </tableStyles>
  <colors>
    <mruColors>
      <color rgb="FFF7CF5F"/>
      <color rgb="FFFFFF00"/>
      <color rgb="FFFFCC00"/>
      <color rgb="FFEFF74B"/>
      <color rgb="FFE1C51F"/>
      <color rgb="FF0CA40C"/>
      <color rgb="FF09FF26"/>
      <color rgb="FF8AE438"/>
      <color rgb="FFFFFF66"/>
      <color rgb="FFE7E581"/>
    </mruColors>
  </colors>
  <extLst>
    <ext xmlns:x14="http://schemas.microsoft.com/office/spreadsheetml/2009/9/main" uri="{46F421CA-312F-682f-3DD2-61675219B42D}">
      <x14:dxfs count="9">
        <dxf>
          <fill>
            <patternFill>
              <bgColor rgb="FFFFC000"/>
            </patternFill>
          </fill>
        </dxf>
        <dxf>
          <fill>
            <patternFill>
              <bgColor rgb="FFFFC000"/>
            </patternFill>
          </fill>
        </dxf>
        <dxf>
          <fill>
            <patternFill>
              <bgColor rgb="FFFFC000"/>
            </patternFill>
          </fill>
        </dxf>
        <dxf>
          <font>
            <color theme="1" tint="4.9989318521683403E-2"/>
          </font>
          <fill>
            <patternFill>
              <bgColor rgb="FFFFFF00"/>
            </patternFill>
          </fill>
          <border>
            <left style="thin">
              <color auto="1"/>
            </left>
            <right style="thin">
              <color auto="1"/>
            </right>
            <top style="thin">
              <color auto="1"/>
            </top>
            <bottom style="thin">
              <color auto="1"/>
            </bottom>
          </border>
        </dxf>
        <dxf>
          <font>
            <color theme="1"/>
          </font>
          <fill>
            <patternFill>
              <bgColor rgb="FFFFC000"/>
            </patternFill>
          </fill>
          <border>
            <left style="thin">
              <color auto="1"/>
            </left>
            <right style="thin">
              <color auto="1"/>
            </right>
            <top style="thin">
              <color auto="1"/>
            </top>
            <bottom style="thin">
              <color auto="1"/>
            </bottom>
          </border>
        </dxf>
        <dxf>
          <font>
            <color rgb="FFFFFF00"/>
          </font>
          <fill>
            <patternFill>
              <bgColor theme="1"/>
            </patternFill>
          </fill>
          <border>
            <left style="thin">
              <color auto="1"/>
            </left>
            <right style="thin">
              <color auto="1"/>
            </right>
            <top style="thin">
              <color auto="1"/>
            </top>
            <bottom style="thin">
              <color auto="1"/>
            </bottom>
          </border>
        </dxf>
        <dxf>
          <font>
            <color rgb="FFFFFF00"/>
          </font>
          <border>
            <left style="thin">
              <color rgb="FFFFFF00"/>
            </left>
            <right style="thin">
              <color rgb="FFFFFF00"/>
            </right>
            <top style="thin">
              <color rgb="FFFFFF00"/>
            </top>
            <bottom style="thin">
              <color rgb="FFFFFF00"/>
            </bottom>
          </border>
        </dxf>
        <dxf>
          <font>
            <color theme="1"/>
          </font>
          <fill>
            <patternFill>
              <bgColor rgb="FFFFFF00"/>
            </patternFill>
          </fill>
          <border>
            <left style="thin">
              <color auto="1"/>
            </left>
            <right style="thin">
              <color auto="1"/>
            </right>
            <top style="thin">
              <color auto="1"/>
            </top>
            <bottom style="thin">
              <color auto="1"/>
            </bottom>
          </border>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Slicer Style 2">
          <x14:slicerStyleElements>
            <x14:slicerStyleElement type="selectedItemWithData" dxfId="7"/>
          </x14:slicerStyleElements>
        </x14:slicerStyle>
        <x14:slicerStyle name="Slicer Style 2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[Dashborad.xlsx]PIVOTS!PivotTable2</c:name>
    <c:fmtId val="9"/>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rPr>
              <a:t>Cost wise Vendors</a:t>
            </a:r>
          </a:p>
        </c:rich>
      </c:tx>
      <c:layout>
        <c:manualLayout>
          <c:xMode val="edge"/>
          <c:yMode val="edge"/>
          <c:x val="0.82323956969345324"/>
          <c:y val="0"/>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w="9525" cap="flat" cmpd="sng" algn="ctr">
            <a:solidFill>
              <a:schemeClr val="accent5"/>
            </a:solidFill>
            <a:miter lim="800000"/>
          </a:ln>
          <a:effectLst>
            <a:glow rad="63500">
              <a:schemeClr val="accent5">
                <a:satMod val="175000"/>
                <a:alpha val="25000"/>
              </a:schemeClr>
            </a:glo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w="9525" cap="flat" cmpd="sng" algn="ctr">
            <a:solidFill>
              <a:schemeClr val="accent5"/>
            </a:solidFill>
            <a:miter lim="800000"/>
          </a:ln>
          <a:effectLst>
            <a:glow rad="63500">
              <a:schemeClr val="accent5">
                <a:satMod val="175000"/>
                <a:alpha val="25000"/>
              </a:schemeClr>
            </a:glo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EFF74B"/>
              </a:gs>
              <a:gs pos="48000">
                <a:srgbClr val="FFCC00"/>
              </a:gs>
              <a:gs pos="69000">
                <a:schemeClr val="accent2">
                  <a:lumMod val="75000"/>
                </a:schemeClr>
              </a:gs>
              <a:gs pos="97000">
                <a:srgbClr val="F7CF5F"/>
              </a:gs>
            </a:gsLst>
            <a:path path="circle">
              <a:fillToRect r="100000" b="100000"/>
            </a:path>
            <a:tileRect l="-100000" t="-100000"/>
          </a:gradFill>
          <a:ln w="9525" cap="flat" cmpd="sng" algn="ctr">
            <a:solidFill>
              <a:schemeClr val="accent5"/>
            </a:solidFill>
            <a:miter lim="800000"/>
          </a:ln>
          <a:effectLst>
            <a:glow rad="63500">
              <a:schemeClr val="accent5">
                <a:satMod val="175000"/>
                <a:alpha val="25000"/>
              </a:schemeClr>
            </a:glo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196079729453885E-2"/>
          <c:y val="4.5935085711273901E-2"/>
          <c:w val="0.97794751273012137"/>
          <c:h val="0.81580735696247242"/>
        </c:manualLayout>
      </c:layout>
      <c:barChart>
        <c:barDir val="col"/>
        <c:grouping val="clustered"/>
        <c:varyColors val="0"/>
        <c:ser>
          <c:idx val="0"/>
          <c:order val="0"/>
          <c:tx>
            <c:strRef>
              <c:f>PIVOTS!$B$1</c:f>
              <c:strCache>
                <c:ptCount val="1"/>
                <c:pt idx="0">
                  <c:v>Total</c:v>
                </c:pt>
              </c:strCache>
            </c:strRef>
          </c:tx>
          <c:spPr>
            <a:gradFill flip="none" rotWithShape="1">
              <a:gsLst>
                <a:gs pos="0">
                  <a:srgbClr val="EFF74B"/>
                </a:gs>
                <a:gs pos="48000">
                  <a:srgbClr val="FFCC00"/>
                </a:gs>
                <a:gs pos="69000">
                  <a:schemeClr val="accent2">
                    <a:lumMod val="75000"/>
                  </a:schemeClr>
                </a:gs>
                <a:gs pos="97000">
                  <a:srgbClr val="F7CF5F"/>
                </a:gs>
              </a:gsLst>
              <a:path path="circle">
                <a:fillToRect r="100000" b="100000"/>
              </a:path>
              <a:tileRect l="-100000" t="-100000"/>
            </a:gradFill>
            <a:ln w="9525" cap="flat" cmpd="sng" algn="ctr">
              <a:solidFill>
                <a:schemeClr val="accent5"/>
              </a:solidFill>
              <a:miter lim="800000"/>
            </a:ln>
            <a:effectLst>
              <a:glow rad="63500">
                <a:schemeClr val="accent5">
                  <a:satMod val="175000"/>
                  <a:alpha val="25000"/>
                </a:schemeClr>
              </a:glo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PIVOTS!$A$2:$A$12</c:f>
              <c:strCache>
                <c:ptCount val="10"/>
                <c:pt idx="0">
                  <c:v>Prime</c:v>
                </c:pt>
                <c:pt idx="1">
                  <c:v>Vector</c:v>
                </c:pt>
                <c:pt idx="2">
                  <c:v>Sigma</c:v>
                </c:pt>
                <c:pt idx="3">
                  <c:v>Orion</c:v>
                </c:pt>
                <c:pt idx="4">
                  <c:v>Zenith</c:v>
                </c:pt>
                <c:pt idx="5">
                  <c:v>Vertex</c:v>
                </c:pt>
                <c:pt idx="6">
                  <c:v>Nova</c:v>
                </c:pt>
                <c:pt idx="7">
                  <c:v>Apex</c:v>
                </c:pt>
                <c:pt idx="8">
                  <c:v>Nexa</c:v>
                </c:pt>
                <c:pt idx="9">
                  <c:v>Falcon</c:v>
                </c:pt>
              </c:strCache>
            </c:strRef>
          </c:cat>
          <c:val>
            <c:numRef>
              <c:f>PIVOTS!$B$2:$B$12</c:f>
              <c:numCache>
                <c:formatCode>General</c:formatCode>
                <c:ptCount val="10"/>
                <c:pt idx="0">
                  <c:v>59906.892687851592</c:v>
                </c:pt>
                <c:pt idx="1">
                  <c:v>58095.331546089314</c:v>
                </c:pt>
                <c:pt idx="2">
                  <c:v>54009.858370620022</c:v>
                </c:pt>
                <c:pt idx="3">
                  <c:v>51984.1109652866</c:v>
                </c:pt>
                <c:pt idx="4">
                  <c:v>49619.85299591464</c:v>
                </c:pt>
                <c:pt idx="5">
                  <c:v>47552.05613331229</c:v>
                </c:pt>
                <c:pt idx="6">
                  <c:v>47268.968429421984</c:v>
                </c:pt>
                <c:pt idx="7">
                  <c:v>33209.590332317784</c:v>
                </c:pt>
                <c:pt idx="8">
                  <c:v>30758.704591046418</c:v>
                </c:pt>
                <c:pt idx="9">
                  <c:v>29542.561391133553</c:v>
                </c:pt>
              </c:numCache>
            </c:numRef>
          </c:val>
          <c:extLst>
            <c:ext xmlns:c16="http://schemas.microsoft.com/office/drawing/2014/chart" uri="{C3380CC4-5D6E-409C-BE32-E72D297353CC}">
              <c16:uniqueId val="{00000000-F3C4-46E6-BA65-14626431D0A7}"/>
            </c:ext>
          </c:extLst>
        </c:ser>
        <c:dLbls>
          <c:dLblPos val="outEnd"/>
          <c:showLegendKey val="0"/>
          <c:showVal val="1"/>
          <c:showCatName val="0"/>
          <c:showSerName val="0"/>
          <c:showPercent val="0"/>
          <c:showBubbleSize val="0"/>
        </c:dLbls>
        <c:gapWidth val="100"/>
        <c:overlap val="-40"/>
        <c:axId val="1302325135"/>
        <c:axId val="1302322735"/>
      </c:barChart>
      <c:catAx>
        <c:axId val="1302325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02322735"/>
        <c:crosses val="autoZero"/>
        <c:auto val="1"/>
        <c:lblAlgn val="ctr"/>
        <c:lblOffset val="100"/>
        <c:noMultiLvlLbl val="0"/>
      </c:catAx>
      <c:valAx>
        <c:axId val="1302322735"/>
        <c:scaling>
          <c:orientation val="minMax"/>
        </c:scaling>
        <c:delete val="1"/>
        <c:axPos val="l"/>
        <c:numFmt formatCode="General" sourceLinked="1"/>
        <c:majorTickMark val="none"/>
        <c:minorTickMark val="none"/>
        <c:tickLblPos val="nextTo"/>
        <c:crossAx val="130232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[Dashborad.xlsx]PIVOTS!PivotTable3</c:name>
    <c:fmtId val="4"/>
  </c:pivotSource>
  <c:chart>
    <c:title>
      <c:tx>
        <c:rich>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r>
              <a:rPr lang="en-US" sz="1400" b="1" i="0" u="none" strike="noStrike" baseline="0">
                <a:solidFill>
                  <a:schemeClr val="bg1"/>
                </a:solidFill>
              </a:rPr>
              <a:t>Vendor Reliability</a:t>
            </a:r>
          </a:p>
        </c:rich>
      </c:tx>
      <c:layout>
        <c:manualLayout>
          <c:xMode val="edge"/>
          <c:yMode val="edge"/>
          <c:x val="0.72866299413450764"/>
          <c:y val="8.6493772448384811E-5"/>
        </c:manualLayout>
      </c:layout>
      <c:overlay val="0"/>
      <c:spPr>
        <a:noFill/>
        <a:ln>
          <a:solidFill>
            <a:schemeClr val="tx1"/>
          </a:solidFill>
        </a:ln>
        <a:effectLst/>
      </c:spPr>
      <c:txPr>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rgbClr val="EFF74B"/>
              </a:gs>
              <a:gs pos="48000">
                <a:srgbClr val="FFCC00"/>
              </a:gs>
              <a:gs pos="69000">
                <a:srgbClr val="FFBD47">
                  <a:lumMod val="75000"/>
                </a:srgbClr>
              </a:gs>
              <a:gs pos="97000">
                <a:srgbClr val="F7CF5F"/>
              </a:gs>
            </a:gsLst>
            <a:path path="circle">
              <a:fillToRect r="100000" b="100000"/>
            </a:path>
          </a:gradFill>
          <a:ln>
            <a:solidFill>
              <a:schemeClr val="accent5"/>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solidFill>
              <a:schemeClr val="accent5"/>
            </a:solidFill>
          </a:ln>
          <a:effectLst/>
        </c:spPr>
      </c:pivotFmt>
      <c:pivotFmt>
        <c:idx val="4"/>
        <c:spPr>
          <a:solidFill>
            <a:srgbClr val="FFFF00"/>
          </a:solidFill>
          <a:ln>
            <a:solidFill>
              <a:schemeClr val="accent5"/>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3591011414968"/>
          <c:y val="0.13262434464945302"/>
          <c:w val="0.80983464706439812"/>
          <c:h val="0.86737571764696697"/>
        </c:manualLayout>
      </c:layout>
      <c:barChart>
        <c:barDir val="bar"/>
        <c:grouping val="clustered"/>
        <c:varyColors val="0"/>
        <c:ser>
          <c:idx val="0"/>
          <c:order val="0"/>
          <c:tx>
            <c:strRef>
              <c:f>PIVOTS!$B$14</c:f>
              <c:strCache>
                <c:ptCount val="1"/>
                <c:pt idx="0">
                  <c:v>Total</c:v>
                </c:pt>
              </c:strCache>
            </c:strRef>
          </c:tx>
          <c:spPr>
            <a:gradFill>
              <a:gsLst>
                <a:gs pos="0">
                  <a:srgbClr val="EFF74B"/>
                </a:gs>
                <a:gs pos="48000">
                  <a:srgbClr val="FFCC00"/>
                </a:gs>
                <a:gs pos="69000">
                  <a:srgbClr val="FFBD47">
                    <a:lumMod val="75000"/>
                  </a:srgbClr>
                </a:gs>
                <a:gs pos="97000">
                  <a:srgbClr val="F7CF5F"/>
                </a:gs>
              </a:gsLst>
              <a:path path="circle">
                <a:fillToRect r="100000" b="100000"/>
              </a:path>
            </a:gradFill>
            <a:ln>
              <a:solidFill>
                <a:schemeClr val="accent5"/>
              </a:solidFill>
            </a:ln>
            <a:effectLst/>
          </c:spPr>
          <c:invertIfNegative val="0"/>
          <c:dPt>
            <c:idx val="1"/>
            <c:invertIfNegative val="0"/>
            <c:bubble3D val="0"/>
            <c:extLst>
              <c:ext xmlns:c16="http://schemas.microsoft.com/office/drawing/2014/chart" uri="{C3380CC4-5D6E-409C-BE32-E72D297353CC}">
                <c16:uniqueId val="{00000001-DC03-475F-AEE5-FC5FF5F234D2}"/>
              </c:ext>
            </c:extLst>
          </c:dPt>
          <c:dPt>
            <c:idx val="7"/>
            <c:invertIfNegative val="0"/>
            <c:bubble3D val="0"/>
            <c:extLst>
              <c:ext xmlns:c16="http://schemas.microsoft.com/office/drawing/2014/chart" uri="{C3380CC4-5D6E-409C-BE32-E72D297353CC}">
                <c16:uniqueId val="{00000002-42FF-41B7-AC43-E67A1DC9B0BC}"/>
              </c:ext>
            </c:extLst>
          </c:dPt>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PIVOTS!$A$15:$A$25</c:f>
              <c:strCache>
                <c:ptCount val="10"/>
                <c:pt idx="0">
                  <c:v>Vertex</c:v>
                </c:pt>
                <c:pt idx="1">
                  <c:v>Falcon</c:v>
                </c:pt>
                <c:pt idx="2">
                  <c:v>Apex</c:v>
                </c:pt>
                <c:pt idx="3">
                  <c:v>Vector</c:v>
                </c:pt>
                <c:pt idx="4">
                  <c:v>Zenith</c:v>
                </c:pt>
                <c:pt idx="5">
                  <c:v>Sigma</c:v>
                </c:pt>
                <c:pt idx="6">
                  <c:v>Nova</c:v>
                </c:pt>
                <c:pt idx="7">
                  <c:v>Prime</c:v>
                </c:pt>
                <c:pt idx="8">
                  <c:v>Orion</c:v>
                </c:pt>
                <c:pt idx="9">
                  <c:v>Nexa</c:v>
                </c:pt>
              </c:strCache>
            </c:strRef>
          </c:cat>
          <c:val>
            <c:numRef>
              <c:f>PIVOTS!$B$15:$B$25</c:f>
              <c:numCache>
                <c:formatCode>0%</c:formatCode>
                <c:ptCount val="10"/>
                <c:pt idx="0">
                  <c:v>0.78854368932038821</c:v>
                </c:pt>
                <c:pt idx="1">
                  <c:v>0.79530303030303007</c:v>
                </c:pt>
                <c:pt idx="2">
                  <c:v>0.79592105263157864</c:v>
                </c:pt>
                <c:pt idx="3">
                  <c:v>0.79949999999999977</c:v>
                </c:pt>
                <c:pt idx="4">
                  <c:v>0.80151785714285684</c:v>
                </c:pt>
                <c:pt idx="5">
                  <c:v>0.80214876033057825</c:v>
                </c:pt>
                <c:pt idx="6">
                  <c:v>0.80330097087378638</c:v>
                </c:pt>
                <c:pt idx="7">
                  <c:v>0.80413223140495871</c:v>
                </c:pt>
                <c:pt idx="8">
                  <c:v>0.80678571428571433</c:v>
                </c:pt>
                <c:pt idx="9">
                  <c:v>0.80803030303030299</c:v>
                </c:pt>
              </c:numCache>
            </c:numRef>
          </c:val>
          <c:extLst>
            <c:ext xmlns:c16="http://schemas.microsoft.com/office/drawing/2014/chart" uri="{C3380CC4-5D6E-409C-BE32-E72D297353CC}">
              <c16:uniqueId val="{00000000-6DC6-4D18-98A3-C20C05A81486}"/>
            </c:ext>
          </c:extLst>
        </c:ser>
        <c:dLbls>
          <c:dLblPos val="outEnd"/>
          <c:showLegendKey val="0"/>
          <c:showVal val="1"/>
          <c:showCatName val="0"/>
          <c:showSerName val="0"/>
          <c:showPercent val="0"/>
          <c:showBubbleSize val="0"/>
        </c:dLbls>
        <c:gapWidth val="70"/>
        <c:overlap val="-2"/>
        <c:axId val="1460203423"/>
        <c:axId val="1460203903"/>
      </c:barChart>
      <c:catAx>
        <c:axId val="14602034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1460203903"/>
        <c:crosses val="autoZero"/>
        <c:auto val="1"/>
        <c:lblAlgn val="ctr"/>
        <c:lblOffset val="100"/>
        <c:noMultiLvlLbl val="0"/>
      </c:catAx>
      <c:valAx>
        <c:axId val="1460203903"/>
        <c:scaling>
          <c:orientation val="minMax"/>
        </c:scaling>
        <c:delete val="1"/>
        <c:axPos val="b"/>
        <c:numFmt formatCode="0%" sourceLinked="1"/>
        <c:majorTickMark val="out"/>
        <c:minorTickMark val="none"/>
        <c:tickLblPos val="nextTo"/>
        <c:crossAx val="1460203423"/>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[Dashborad.xlsx]PIVOTS!PivotTable5</c:name>
    <c:fmtId val="4"/>
  </c:pivotSource>
  <c:chart>
    <c:title>
      <c:tx>
        <c:rich>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r>
              <a:rPr lang="en-US" sz="1400" b="1" i="0" u="none" strike="noStrike" baseline="0"/>
              <a:t>Vendor Performance Score (0–100)</a:t>
            </a:r>
            <a:endParaRPr lang="en-US"/>
          </a:p>
        </c:rich>
      </c:tx>
      <c:layout>
        <c:manualLayout>
          <c:xMode val="edge"/>
          <c:yMode val="edge"/>
          <c:x val="0.31302858502496883"/>
          <c:y val="6.0622392008919451E-3"/>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FF00"/>
          </a:solidFill>
          <a:ln>
            <a:solidFill>
              <a:schemeClr val="accent5"/>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solidFill>
              <a:schemeClr val="accent5"/>
            </a:solidFill>
          </a:ln>
          <a:effectLst/>
        </c:spPr>
      </c:pivotFmt>
      <c:pivotFmt>
        <c:idx val="4"/>
        <c:spPr>
          <a:solidFill>
            <a:srgbClr val="FFFF00"/>
          </a:solidFill>
          <a:ln>
            <a:solidFill>
              <a:schemeClr val="accent5"/>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solidFill>
              <a:schemeClr val="accent5"/>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solidFill>
              <a:schemeClr val="accent5"/>
            </a:solidFill>
          </a:ln>
          <a:effectLst/>
        </c:spPr>
      </c:pivotFmt>
      <c:pivotFmt>
        <c:idx val="7"/>
        <c:spPr>
          <a:solidFill>
            <a:srgbClr val="FFFF00"/>
          </a:solidFill>
          <a:ln>
            <a:solidFill>
              <a:schemeClr val="accent5"/>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solidFill>
              <a:schemeClr val="accent5"/>
            </a:solidFill>
          </a:ln>
          <a:effectLst/>
        </c:spPr>
      </c:pivotFmt>
      <c:pivotFmt>
        <c:idx val="9"/>
        <c:spPr>
          <a:gradFill>
            <a:gsLst>
              <a:gs pos="0">
                <a:srgbClr val="EFF74B"/>
              </a:gs>
              <a:gs pos="48000">
                <a:srgbClr val="FFCC00"/>
              </a:gs>
              <a:gs pos="69000">
                <a:srgbClr val="FFBD47">
                  <a:lumMod val="75000"/>
                </a:srgbClr>
              </a:gs>
              <a:gs pos="97000">
                <a:srgbClr val="F7CF5F"/>
              </a:gs>
            </a:gsLst>
            <a:path path="circle">
              <a:fillToRect r="100000" b="100000"/>
            </a:path>
          </a:gradFill>
          <a:ln>
            <a:solidFill>
              <a:srgbClr val="F7CF5F"/>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solidFill>
          <a:ln>
            <a:solidFill>
              <a:schemeClr val="accent5"/>
            </a:solidFill>
          </a:ln>
          <a:effectLst/>
        </c:spPr>
      </c:pivotFmt>
      <c:pivotFmt>
        <c:idx val="11"/>
        <c:spPr>
          <a:gradFill>
            <a:gsLst>
              <a:gs pos="0">
                <a:srgbClr val="EFF74B"/>
              </a:gs>
              <a:gs pos="48000">
                <a:srgbClr val="FFCC00"/>
              </a:gs>
              <a:gs pos="69000">
                <a:srgbClr val="FFBD47">
                  <a:lumMod val="75000"/>
                </a:srgbClr>
              </a:gs>
              <a:gs pos="97000">
                <a:srgbClr val="F7CF5F"/>
              </a:gs>
            </a:gsLst>
            <a:path path="circle">
              <a:fillToRect r="100000" b="100000"/>
            </a:path>
          </a:gradFill>
          <a:ln>
            <a:solidFill>
              <a:srgbClr val="F7CF5F"/>
            </a:solidFill>
          </a:ln>
          <a:effectLst/>
        </c:spPr>
      </c:pivotFmt>
      <c:pivotFmt>
        <c:idx val="12"/>
        <c:spPr>
          <a:gradFill>
            <a:gsLst>
              <a:gs pos="0">
                <a:srgbClr val="EFF74B"/>
              </a:gs>
              <a:gs pos="48000">
                <a:srgbClr val="FFCC00"/>
              </a:gs>
              <a:gs pos="69000">
                <a:srgbClr val="FFBD47">
                  <a:lumMod val="75000"/>
                </a:srgbClr>
              </a:gs>
              <a:gs pos="97000">
                <a:srgbClr val="F7CF5F"/>
              </a:gs>
            </a:gsLst>
            <a:path path="circle">
              <a:fillToRect r="100000" b="100000"/>
            </a:path>
          </a:gradFill>
          <a:ln>
            <a:solidFill>
              <a:srgbClr val="F7CF5F"/>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EFF74B"/>
              </a:gs>
              <a:gs pos="48000">
                <a:srgbClr val="FFCC00"/>
              </a:gs>
              <a:gs pos="69000">
                <a:srgbClr val="FFBD47">
                  <a:lumMod val="75000"/>
                </a:srgbClr>
              </a:gs>
              <a:gs pos="97000">
                <a:srgbClr val="F7CF5F"/>
              </a:gs>
            </a:gsLst>
            <a:path path="circle">
              <a:fillToRect r="100000" b="100000"/>
            </a:path>
          </a:gradFill>
          <a:ln>
            <a:solidFill>
              <a:srgbClr val="F7CF5F"/>
            </a:solidFill>
          </a:ln>
          <a:effectLst/>
        </c:spPr>
      </c:pivotFmt>
    </c:pivotFmts>
    <c:plotArea>
      <c:layout>
        <c:manualLayout>
          <c:layoutTarget val="inner"/>
          <c:xMode val="edge"/>
          <c:yMode val="edge"/>
          <c:x val="0.12480941226120394"/>
          <c:y val="0.13262434464945302"/>
          <c:w val="0.8586755025428332"/>
          <c:h val="0.81704680692022458"/>
        </c:manualLayout>
      </c:layout>
      <c:barChart>
        <c:barDir val="bar"/>
        <c:grouping val="clustered"/>
        <c:varyColors val="0"/>
        <c:ser>
          <c:idx val="0"/>
          <c:order val="0"/>
          <c:tx>
            <c:strRef>
              <c:f>PIVOTS!$E$14</c:f>
              <c:strCache>
                <c:ptCount val="1"/>
                <c:pt idx="0">
                  <c:v>Total</c:v>
                </c:pt>
              </c:strCache>
            </c:strRef>
          </c:tx>
          <c:spPr>
            <a:gradFill>
              <a:gsLst>
                <a:gs pos="0">
                  <a:srgbClr val="EFF74B"/>
                </a:gs>
                <a:gs pos="48000">
                  <a:srgbClr val="FFCC00"/>
                </a:gs>
                <a:gs pos="69000">
                  <a:srgbClr val="FFBD47">
                    <a:lumMod val="75000"/>
                  </a:srgbClr>
                </a:gs>
                <a:gs pos="97000">
                  <a:srgbClr val="F7CF5F"/>
                </a:gs>
              </a:gsLst>
              <a:path path="circle">
                <a:fillToRect r="100000" b="100000"/>
              </a:path>
            </a:gradFill>
            <a:ln>
              <a:solidFill>
                <a:srgbClr val="F7CF5F"/>
              </a:solidFill>
            </a:ln>
            <a:effectLst/>
          </c:spPr>
          <c:invertIfNegative val="0"/>
          <c:dPt>
            <c:idx val="1"/>
            <c:invertIfNegative val="0"/>
            <c:bubble3D val="0"/>
            <c:extLst>
              <c:ext xmlns:c16="http://schemas.microsoft.com/office/drawing/2014/chart" uri="{C3380CC4-5D6E-409C-BE32-E72D297353CC}">
                <c16:uniqueId val="{00000001-8A21-4C73-BDAD-9C807E189062}"/>
              </c:ext>
            </c:extLst>
          </c:dPt>
          <c:dPt>
            <c:idx val="7"/>
            <c:invertIfNegative val="0"/>
            <c:bubble3D val="0"/>
            <c:extLst>
              <c:ext xmlns:c16="http://schemas.microsoft.com/office/drawing/2014/chart" uri="{C3380CC4-5D6E-409C-BE32-E72D297353CC}">
                <c16:uniqueId val="{00000002-3FCC-4FB8-BEC6-E4DF49CD9D7D}"/>
              </c:ext>
            </c:extLst>
          </c:dPt>
          <c:dPt>
            <c:idx val="9"/>
            <c:invertIfNegative val="0"/>
            <c:bubble3D val="0"/>
            <c:extLst>
              <c:ext xmlns:c16="http://schemas.microsoft.com/office/drawing/2014/chart" uri="{C3380CC4-5D6E-409C-BE32-E72D297353CC}">
                <c16:uniqueId val="{00000002-F2C2-4C77-8FC0-B5BD02177D37}"/>
              </c:ext>
            </c:extLst>
          </c:dPt>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PIVOTS!$D$15:$D$25</c:f>
              <c:strCache>
                <c:ptCount val="10"/>
                <c:pt idx="0">
                  <c:v>Vertex</c:v>
                </c:pt>
                <c:pt idx="1">
                  <c:v>Sigma</c:v>
                </c:pt>
                <c:pt idx="2">
                  <c:v>Nexa</c:v>
                </c:pt>
                <c:pt idx="3">
                  <c:v>Falcon</c:v>
                </c:pt>
                <c:pt idx="4">
                  <c:v>Vector</c:v>
                </c:pt>
                <c:pt idx="5">
                  <c:v>Zenith</c:v>
                </c:pt>
                <c:pt idx="6">
                  <c:v>Orion</c:v>
                </c:pt>
                <c:pt idx="7">
                  <c:v>Apex</c:v>
                </c:pt>
                <c:pt idx="8">
                  <c:v>Prime</c:v>
                </c:pt>
                <c:pt idx="9">
                  <c:v>Nova</c:v>
                </c:pt>
              </c:strCache>
            </c:strRef>
          </c:cat>
          <c:val>
            <c:numRef>
              <c:f>PIVOTS!$E$15:$E$25</c:f>
              <c:numCache>
                <c:formatCode>0.00</c:formatCode>
                <c:ptCount val="10"/>
                <c:pt idx="0">
                  <c:v>33.492261677989667</c:v>
                </c:pt>
                <c:pt idx="1">
                  <c:v>34.629044826424803</c:v>
                </c:pt>
                <c:pt idx="2">
                  <c:v>35.061294492482325</c:v>
                </c:pt>
                <c:pt idx="3">
                  <c:v>35.39572012651012</c:v>
                </c:pt>
                <c:pt idx="4">
                  <c:v>36.045871399304687</c:v>
                </c:pt>
                <c:pt idx="5">
                  <c:v>36.201756774545998</c:v>
                </c:pt>
                <c:pt idx="6">
                  <c:v>36.258972659146728</c:v>
                </c:pt>
                <c:pt idx="7">
                  <c:v>36.365394595345784</c:v>
                </c:pt>
                <c:pt idx="8">
                  <c:v>37.511887268131694</c:v>
                </c:pt>
                <c:pt idx="9">
                  <c:v>37.765753347924267</c:v>
                </c:pt>
              </c:numCache>
            </c:numRef>
          </c:val>
          <c:extLst>
            <c:ext xmlns:c16="http://schemas.microsoft.com/office/drawing/2014/chart" uri="{C3380CC4-5D6E-409C-BE32-E72D297353CC}">
              <c16:uniqueId val="{00000002-8A21-4C73-BDAD-9C807E189062}"/>
            </c:ext>
          </c:extLst>
        </c:ser>
        <c:dLbls>
          <c:dLblPos val="outEnd"/>
          <c:showLegendKey val="0"/>
          <c:showVal val="1"/>
          <c:showCatName val="0"/>
          <c:showSerName val="0"/>
          <c:showPercent val="0"/>
          <c:showBubbleSize val="0"/>
        </c:dLbls>
        <c:gapWidth val="90"/>
        <c:overlap val="-2"/>
        <c:axId val="1460203423"/>
        <c:axId val="1460203903"/>
      </c:barChart>
      <c:catAx>
        <c:axId val="14602034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1460203903"/>
        <c:crosses val="autoZero"/>
        <c:auto val="1"/>
        <c:lblAlgn val="ctr"/>
        <c:lblOffset val="100"/>
        <c:noMultiLvlLbl val="0"/>
      </c:catAx>
      <c:valAx>
        <c:axId val="1460203903"/>
        <c:scaling>
          <c:orientation val="minMax"/>
        </c:scaling>
        <c:delete val="1"/>
        <c:axPos val="b"/>
        <c:numFmt formatCode="0.00" sourceLinked="1"/>
        <c:majorTickMark val="out"/>
        <c:minorTickMark val="none"/>
        <c:tickLblPos val="nextTo"/>
        <c:crossAx val="1460203423"/>
        <c:crosses val="autoZero"/>
        <c:crossBetween val="between"/>
      </c:valAx>
      <c:spPr>
        <a:noFill/>
        <a:ln>
          <a:noFill/>
        </a:ln>
        <a:effectLst/>
      </c:spPr>
    </c:plotArea>
    <c:plotVisOnly val="1"/>
    <c:dispBlanksAs val="gap"/>
    <c:showDLblsOverMax val="0"/>
    <c:extLst/>
  </c:chart>
  <c:spPr>
    <a:solidFill>
      <a:schemeClr val="tx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[Dashborad.xlsx]PIVOTS!PivotTable4</c:name>
    <c:fmtId val="14"/>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t>Vendor Profit Contribution</a:t>
            </a:r>
          </a:p>
        </c:rich>
      </c:tx>
      <c:layout>
        <c:manualLayout>
          <c:xMode val="edge"/>
          <c:yMode val="edge"/>
          <c:x val="0.82323956969345324"/>
          <c:y val="0"/>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EFF74B"/>
              </a:gs>
              <a:gs pos="48000">
                <a:srgbClr val="FFCC00"/>
              </a:gs>
              <a:gs pos="69000">
                <a:srgbClr val="FFBD47">
                  <a:lumMod val="75000"/>
                </a:srgbClr>
              </a:gs>
              <a:gs pos="97000">
                <a:srgbClr val="F7CF5F"/>
              </a:gs>
            </a:gsLst>
            <a:path path="circle">
              <a:fillToRect r="100000" b="100000"/>
            </a:path>
          </a:gradFill>
          <a:ln w="9525" cap="flat" cmpd="sng" algn="ctr">
            <a:solidFill>
              <a:srgbClr val="F7CF5F"/>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EFF74B"/>
              </a:gs>
              <a:gs pos="48000">
                <a:srgbClr val="FFCC00"/>
              </a:gs>
              <a:gs pos="69000">
                <a:srgbClr val="FFBD47">
                  <a:lumMod val="75000"/>
                </a:srgbClr>
              </a:gs>
              <a:gs pos="97000">
                <a:srgbClr val="F7CF5F"/>
              </a:gs>
            </a:gsLst>
            <a:path path="circle">
              <a:fillToRect r="100000" b="100000"/>
            </a:path>
          </a:gradFill>
          <a:ln w="9525" cap="flat" cmpd="sng" algn="ctr">
            <a:solidFill>
              <a:srgbClr val="F7CF5F"/>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F7CF5F"/>
              </a:gs>
              <a:gs pos="49000">
                <a:srgbClr val="FFCC00"/>
              </a:gs>
              <a:gs pos="83000">
                <a:srgbClr val="FFFF00"/>
              </a:gs>
              <a:gs pos="100000">
                <a:srgbClr val="F7CF5F"/>
              </a:gs>
            </a:gsLst>
            <a:lin ang="5400000" scaled="1"/>
          </a:grad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62256241918343E-2"/>
          <c:y val="4.5935085711273901E-2"/>
          <c:w val="0.95794694839704886"/>
          <c:h val="0.81580735696247242"/>
        </c:manualLayout>
      </c:layout>
      <c:barChart>
        <c:barDir val="col"/>
        <c:grouping val="clustered"/>
        <c:varyColors val="0"/>
        <c:ser>
          <c:idx val="0"/>
          <c:order val="0"/>
          <c:tx>
            <c:strRef>
              <c:f>PIVOTS!$E$1</c:f>
              <c:strCache>
                <c:ptCount val="1"/>
                <c:pt idx="0">
                  <c:v>Total</c:v>
                </c:pt>
              </c:strCache>
            </c:strRef>
          </c:tx>
          <c:spPr>
            <a:gradFill>
              <a:gsLst>
                <a:gs pos="0">
                  <a:srgbClr val="F7CF5F"/>
                </a:gs>
                <a:gs pos="49000">
                  <a:srgbClr val="FFCC00"/>
                </a:gs>
                <a:gs pos="83000">
                  <a:srgbClr val="FFFF00"/>
                </a:gs>
                <a:gs pos="100000">
                  <a:srgbClr val="F7CF5F"/>
                </a:gs>
              </a:gsLst>
              <a:lin ang="5400000" scaled="1"/>
            </a:grad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PIVOTS!$D$2:$D$12</c:f>
              <c:strCache>
                <c:ptCount val="10"/>
                <c:pt idx="0">
                  <c:v>Prime</c:v>
                </c:pt>
                <c:pt idx="1">
                  <c:v>Nexa</c:v>
                </c:pt>
                <c:pt idx="2">
                  <c:v>Nova</c:v>
                </c:pt>
                <c:pt idx="3">
                  <c:v>Zenith</c:v>
                </c:pt>
                <c:pt idx="4">
                  <c:v>Vector</c:v>
                </c:pt>
                <c:pt idx="5">
                  <c:v>Apex</c:v>
                </c:pt>
                <c:pt idx="6">
                  <c:v>Orion</c:v>
                </c:pt>
                <c:pt idx="7">
                  <c:v>Sigma</c:v>
                </c:pt>
                <c:pt idx="8">
                  <c:v>Falcon</c:v>
                </c:pt>
                <c:pt idx="9">
                  <c:v>Vertex</c:v>
                </c:pt>
              </c:strCache>
            </c:strRef>
          </c:cat>
          <c:val>
            <c:numRef>
              <c:f>PIVOTS!$E$2:$E$12</c:f>
              <c:numCache>
                <c:formatCode>0%</c:formatCode>
                <c:ptCount val="10"/>
                <c:pt idx="0">
                  <c:v>0.41596612359079022</c:v>
                </c:pt>
                <c:pt idx="1">
                  <c:v>0.41415787896259587</c:v>
                </c:pt>
                <c:pt idx="2">
                  <c:v>0.40532402015634184</c:v>
                </c:pt>
                <c:pt idx="3">
                  <c:v>0.40370986162758543</c:v>
                </c:pt>
                <c:pt idx="4">
                  <c:v>0.37236296285433795</c:v>
                </c:pt>
                <c:pt idx="5">
                  <c:v>0.36790408830279325</c:v>
                </c:pt>
                <c:pt idx="6">
                  <c:v>0.35605994640806787</c:v>
                </c:pt>
                <c:pt idx="7">
                  <c:v>0.34761598208950828</c:v>
                </c:pt>
                <c:pt idx="8">
                  <c:v>0.34246152832177829</c:v>
                </c:pt>
                <c:pt idx="9">
                  <c:v>0.32056937827830384</c:v>
                </c:pt>
              </c:numCache>
            </c:numRef>
          </c:val>
          <c:extLst>
            <c:ext xmlns:c16="http://schemas.microsoft.com/office/drawing/2014/chart" uri="{C3380CC4-5D6E-409C-BE32-E72D297353CC}">
              <c16:uniqueId val="{00000000-9F7A-44EF-92F0-3BD97A37010B}"/>
            </c:ext>
          </c:extLst>
        </c:ser>
        <c:dLbls>
          <c:dLblPos val="outEnd"/>
          <c:showLegendKey val="0"/>
          <c:showVal val="1"/>
          <c:showCatName val="0"/>
          <c:showSerName val="0"/>
          <c:showPercent val="0"/>
          <c:showBubbleSize val="0"/>
        </c:dLbls>
        <c:gapWidth val="117"/>
        <c:overlap val="-28"/>
        <c:axId val="1302325135"/>
        <c:axId val="1302322735"/>
      </c:barChart>
      <c:catAx>
        <c:axId val="1302325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02322735"/>
        <c:crosses val="autoZero"/>
        <c:auto val="1"/>
        <c:lblAlgn val="ctr"/>
        <c:lblOffset val="100"/>
        <c:noMultiLvlLbl val="0"/>
      </c:catAx>
      <c:valAx>
        <c:axId val="1302322735"/>
        <c:scaling>
          <c:orientation val="minMax"/>
        </c:scaling>
        <c:delete val="1"/>
        <c:axPos val="l"/>
        <c:numFmt formatCode="0%" sourceLinked="1"/>
        <c:majorTickMark val="out"/>
        <c:minorTickMark val="none"/>
        <c:tickLblPos val="nextTo"/>
        <c:crossAx val="1302325135"/>
        <c:crosses val="autoZero"/>
        <c:crossBetween val="between"/>
      </c:valAx>
      <c:spPr>
        <a:noFill/>
        <a:ln>
          <a:noFill/>
        </a:ln>
        <a:effectLst/>
      </c:spPr>
    </c:plotArea>
    <c:plotVisOnly val="1"/>
    <c:dispBlanksAs val="gap"/>
    <c:showDLblsOverMax val="0"/>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Cost vs Reliability Trade-off</a:t>
            </a:r>
            <a:endParaRPr lang="en-US" b="1">
              <a:solidFill>
                <a:schemeClr val="bg1"/>
              </a:solidFill>
            </a:endParaRPr>
          </a:p>
        </c:rich>
      </c:tx>
      <c:layout>
        <c:manualLayout>
          <c:xMode val="edge"/>
          <c:yMode val="edge"/>
          <c:x val="0.4262922004882634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5392077383055827"/>
          <c:y val="0.16275472964448562"/>
          <c:w val="0.79900014550896958"/>
          <c:h val="0.66649027919446768"/>
        </c:manualLayout>
      </c:layout>
      <c:scatterChart>
        <c:scatterStyle val="lineMarker"/>
        <c:varyColors val="0"/>
        <c:ser>
          <c:idx val="0"/>
          <c:order val="0"/>
          <c:tx>
            <c:strRef>
              <c:f>PIVOTS!$C$27</c:f>
              <c:strCache>
                <c:ptCount val="1"/>
                <c:pt idx="0">
                  <c:v>Avg Delivery Rate</c:v>
                </c:pt>
              </c:strCache>
            </c:strRef>
          </c:tx>
          <c:spPr>
            <a:ln w="38100" cap="rnd">
              <a:noFill/>
              <a:round/>
            </a:ln>
            <a:effectLst/>
          </c:spPr>
          <c:marker>
            <c:symbol val="circle"/>
            <c:size val="5"/>
            <c:spPr>
              <a:solidFill>
                <a:srgbClr val="FFFF00"/>
              </a:solidFill>
              <a:ln w="9525">
                <a:solidFill>
                  <a:schemeClr val="accent1"/>
                </a:solidFill>
              </a:ln>
              <a:effectLst/>
            </c:spPr>
          </c:marker>
          <c:dLbls>
            <c:dLbl>
              <c:idx val="0"/>
              <c:tx>
                <c:rich>
                  <a:bodyPr/>
                  <a:lstStyle/>
                  <a:p>
                    <a:fld id="{03D52436-843D-417E-A30D-54BEFEB652F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2E4-4881-944F-1F68C418CB33}"/>
                </c:ext>
              </c:extLst>
            </c:dLbl>
            <c:dLbl>
              <c:idx val="1"/>
              <c:tx>
                <c:rich>
                  <a:bodyPr/>
                  <a:lstStyle/>
                  <a:p>
                    <a:fld id="{EEEECFD2-76ED-4A62-B39E-20F43A16603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2E4-4881-944F-1F68C418CB33}"/>
                </c:ext>
              </c:extLst>
            </c:dLbl>
            <c:dLbl>
              <c:idx val="2"/>
              <c:tx>
                <c:rich>
                  <a:bodyPr/>
                  <a:lstStyle/>
                  <a:p>
                    <a:fld id="{23FC62A5-A753-4BB6-AFD1-0513BD34006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2E4-4881-944F-1F68C418CB33}"/>
                </c:ext>
              </c:extLst>
            </c:dLbl>
            <c:dLbl>
              <c:idx val="3"/>
              <c:tx>
                <c:rich>
                  <a:bodyPr/>
                  <a:lstStyle/>
                  <a:p>
                    <a:fld id="{1E37AFDE-0326-4FC7-B66F-51619444345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2E4-4881-944F-1F68C418CB33}"/>
                </c:ext>
              </c:extLst>
            </c:dLbl>
            <c:dLbl>
              <c:idx val="4"/>
              <c:tx>
                <c:rich>
                  <a:bodyPr/>
                  <a:lstStyle/>
                  <a:p>
                    <a:fld id="{B665E853-8779-4F3A-BB7F-7763E89AECB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2E4-4881-944F-1F68C418CB33}"/>
                </c:ext>
              </c:extLst>
            </c:dLbl>
            <c:dLbl>
              <c:idx val="5"/>
              <c:tx>
                <c:rich>
                  <a:bodyPr/>
                  <a:lstStyle/>
                  <a:p>
                    <a:fld id="{62145B60-460D-4237-997E-9C968DB351E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2E4-4881-944F-1F68C418CB33}"/>
                </c:ext>
              </c:extLst>
            </c:dLbl>
            <c:dLbl>
              <c:idx val="6"/>
              <c:tx>
                <c:rich>
                  <a:bodyPr/>
                  <a:lstStyle/>
                  <a:p>
                    <a:fld id="{0042285A-D670-4CDD-9F90-CA2CAB1A39F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2E4-4881-944F-1F68C418CB33}"/>
                </c:ext>
              </c:extLst>
            </c:dLbl>
            <c:dLbl>
              <c:idx val="7"/>
              <c:tx>
                <c:rich>
                  <a:bodyPr/>
                  <a:lstStyle/>
                  <a:p>
                    <a:fld id="{8F09FEAA-12B0-4D57-9BAC-30660D0A738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2E4-4881-944F-1F68C418CB33}"/>
                </c:ext>
              </c:extLst>
            </c:dLbl>
            <c:dLbl>
              <c:idx val="8"/>
              <c:tx>
                <c:rich>
                  <a:bodyPr/>
                  <a:lstStyle/>
                  <a:p>
                    <a:fld id="{FDF2294A-EB74-46CF-BEDF-CCCAEFC31F4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2E4-4881-944F-1F68C418CB33}"/>
                </c:ext>
              </c:extLst>
            </c:dLbl>
            <c:dLbl>
              <c:idx val="9"/>
              <c:tx>
                <c:rich>
                  <a:bodyPr/>
                  <a:lstStyle/>
                  <a:p>
                    <a:fld id="{E4FFB424-795A-4694-8F2E-5C0C8513453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2E4-4881-944F-1F68C418CB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PIVOTS!$B$28:$B$37</c:f>
              <c:numCache>
                <c:formatCode>General</c:formatCode>
                <c:ptCount val="10"/>
                <c:pt idx="0">
                  <c:v>461.67044789623583</c:v>
                </c:pt>
                <c:pt idx="1">
                  <c:v>447.61456653232653</c:v>
                </c:pt>
                <c:pt idx="2">
                  <c:v>436.96829384628666</c:v>
                </c:pt>
                <c:pt idx="3">
                  <c:v>484.12776288407764</c:v>
                </c:pt>
                <c:pt idx="4">
                  <c:v>443.03440174923787</c:v>
                </c:pt>
                <c:pt idx="5">
                  <c:v>446.36246587289276</c:v>
                </c:pt>
                <c:pt idx="6">
                  <c:v>458.92202358662121</c:v>
                </c:pt>
                <c:pt idx="7">
                  <c:v>495.09828667645945</c:v>
                </c:pt>
                <c:pt idx="8">
                  <c:v>464.14384790434463</c:v>
                </c:pt>
                <c:pt idx="9">
                  <c:v>466.04097865221848</c:v>
                </c:pt>
              </c:numCache>
            </c:numRef>
          </c:xVal>
          <c:yVal>
            <c:numRef>
              <c:f>PIVOTS!$C$28:$C$37</c:f>
              <c:numCache>
                <c:formatCode>0%</c:formatCode>
                <c:ptCount val="10"/>
                <c:pt idx="0">
                  <c:v>0.78854368932038821</c:v>
                </c:pt>
                <c:pt idx="1">
                  <c:v>0.79530303030303007</c:v>
                </c:pt>
                <c:pt idx="2">
                  <c:v>0.79592105263157864</c:v>
                </c:pt>
                <c:pt idx="3">
                  <c:v>0.79949999999999977</c:v>
                </c:pt>
                <c:pt idx="4">
                  <c:v>0.80151785714285684</c:v>
                </c:pt>
                <c:pt idx="5">
                  <c:v>0.80214876033057825</c:v>
                </c:pt>
                <c:pt idx="6">
                  <c:v>0.80330097087378638</c:v>
                </c:pt>
                <c:pt idx="7">
                  <c:v>0.80413223140495871</c:v>
                </c:pt>
                <c:pt idx="8">
                  <c:v>0.80678571428571433</c:v>
                </c:pt>
                <c:pt idx="9">
                  <c:v>0.80803030303030299</c:v>
                </c:pt>
              </c:numCache>
            </c:numRef>
          </c:yVal>
          <c:smooth val="0"/>
          <c:extLst>
            <c:ext xmlns:c15="http://schemas.microsoft.com/office/drawing/2012/chart" uri="{02D57815-91ED-43cb-92C2-25804820EDAC}">
              <c15:datalabelsRange>
                <c15:f>PIVOTS!$A$28:$A$37</c15:f>
                <c15:dlblRangeCache>
                  <c:ptCount val="10"/>
                  <c:pt idx="0">
                    <c:v>Vertex</c:v>
                  </c:pt>
                  <c:pt idx="1">
                    <c:v>Falcon</c:v>
                  </c:pt>
                  <c:pt idx="2">
                    <c:v>Apex</c:v>
                  </c:pt>
                  <c:pt idx="3">
                    <c:v>Vector</c:v>
                  </c:pt>
                  <c:pt idx="4">
                    <c:v>Zenith</c:v>
                  </c:pt>
                  <c:pt idx="5">
                    <c:v>Sigma</c:v>
                  </c:pt>
                  <c:pt idx="6">
                    <c:v>Nova</c:v>
                  </c:pt>
                  <c:pt idx="7">
                    <c:v>Prime</c:v>
                  </c:pt>
                  <c:pt idx="8">
                    <c:v>Orion</c:v>
                  </c:pt>
                  <c:pt idx="9">
                    <c:v>Nexa</c:v>
                  </c:pt>
                </c15:dlblRangeCache>
              </c15:datalabelsRange>
            </c:ext>
            <c:ext xmlns:c16="http://schemas.microsoft.com/office/drawing/2014/chart" uri="{C3380CC4-5D6E-409C-BE32-E72D297353CC}">
              <c16:uniqueId val="{0000000A-E2E4-4881-944F-1F68C418CB33}"/>
            </c:ext>
          </c:extLst>
        </c:ser>
        <c:dLbls>
          <c:dLblPos val="t"/>
          <c:showLegendKey val="0"/>
          <c:showVal val="1"/>
          <c:showCatName val="0"/>
          <c:showSerName val="0"/>
          <c:showPercent val="0"/>
          <c:showBubbleSize val="0"/>
        </c:dLbls>
        <c:axId val="1735811456"/>
        <c:axId val="1735812416"/>
      </c:scatterChart>
      <c:valAx>
        <c:axId val="1735811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Cost</a:t>
                </a:r>
              </a:p>
            </c:rich>
          </c:tx>
          <c:layout>
            <c:manualLayout>
              <c:xMode val="edge"/>
              <c:yMode val="edge"/>
              <c:x val="0.47316831923282127"/>
              <c:y val="0.888393721355125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35812416"/>
        <c:crosses val="autoZero"/>
        <c:crossBetween val="midCat"/>
      </c:valAx>
      <c:valAx>
        <c:axId val="1735812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baseline="0">
                    <a:solidFill>
                      <a:schemeClr val="bg1"/>
                    </a:solidFill>
                  </a:rPr>
                  <a:t>Delivery</a:t>
                </a:r>
                <a:endParaRPr lang="en-US">
                  <a:solidFill>
                    <a:schemeClr val="bg1"/>
                  </a:solidFill>
                </a:endParaRPr>
              </a:p>
            </c:rich>
          </c:tx>
          <c:layout>
            <c:manualLayout>
              <c:xMode val="edge"/>
              <c:yMode val="edge"/>
              <c:x val="3.6665950670149642E-3"/>
              <c:y val="0.346510465004027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358114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266700</xdr:colOff>
      <xdr:row>2</xdr:row>
      <xdr:rowOff>76200</xdr:rowOff>
    </xdr:from>
    <xdr:to>
      <xdr:col>3</xdr:col>
      <xdr:colOff>310243</xdr:colOff>
      <xdr:row>5</xdr:row>
      <xdr:rowOff>103413</xdr:rowOff>
    </xdr:to>
    <xdr:sp macro="" textlink="'KPI CARDS'!B3:C3">
      <xdr:nvSpPr>
        <xdr:cNvPr id="5" name="Rectangle: Rounded Corners 4">
          <a:extLst>
            <a:ext uri="{FF2B5EF4-FFF2-40B4-BE49-F238E27FC236}">
              <a16:creationId xmlns:a16="http://schemas.microsoft.com/office/drawing/2014/main" id="{26DD34E7-5520-D579-6DD0-95B780133759}"/>
            </a:ext>
          </a:extLst>
        </xdr:cNvPr>
        <xdr:cNvSpPr/>
      </xdr:nvSpPr>
      <xdr:spPr>
        <a:xfrm>
          <a:off x="919843" y="446314"/>
          <a:ext cx="1349829" cy="582385"/>
        </a:xfrm>
        <a:prstGeom prst="roundRect">
          <a:avLst/>
        </a:prstGeom>
        <a:gradFill flip="none" rotWithShape="1">
          <a:gsLst>
            <a:gs pos="10000">
              <a:srgbClr val="FFFF00">
                <a:shade val="30000"/>
                <a:satMod val="115000"/>
              </a:srgbClr>
            </a:gs>
            <a:gs pos="50000">
              <a:srgbClr val="FFFF00">
                <a:shade val="67500"/>
                <a:satMod val="115000"/>
              </a:srgbClr>
            </a:gs>
            <a:gs pos="100000">
              <a:srgbClr val="FFFF00"/>
            </a:gs>
          </a:gsLst>
          <a:lin ang="13500000" scaled="1"/>
          <a:tileRect/>
        </a:gradFill>
        <a:ln>
          <a:noFill/>
        </a:ln>
        <a:effectLst>
          <a:outerShdw blurRad="50800" dist="38100" algn="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     </a:t>
          </a:r>
        </a:p>
        <a:p>
          <a:pPr algn="l"/>
          <a:r>
            <a:rPr lang="en-US" sz="1100" b="0" i="0" u="none" strike="noStrike">
              <a:solidFill>
                <a:srgbClr val="000000"/>
              </a:solidFill>
              <a:latin typeface="Aptos Narrow"/>
            </a:rPr>
            <a:t>      </a:t>
          </a:r>
          <a:fld id="{A78D767E-2C8F-4346-90FB-EBAD76059D7B}" type="TxLink">
            <a:rPr lang="en-US" sz="1200" b="0" i="0" u="none" strike="noStrike">
              <a:solidFill>
                <a:srgbClr val="000000"/>
              </a:solidFill>
              <a:latin typeface="Aptos Narrow"/>
            </a:rPr>
            <a:pPr algn="l"/>
            <a:t>₹ 4,61,947.93</a:t>
          </a:fld>
          <a:endParaRPr lang="en-US" sz="1100"/>
        </a:p>
      </xdr:txBody>
    </xdr:sp>
    <xdr:clientData/>
  </xdr:twoCellAnchor>
  <xdr:twoCellAnchor>
    <xdr:from>
      <xdr:col>1</xdr:col>
      <xdr:colOff>342900</xdr:colOff>
      <xdr:row>2</xdr:row>
      <xdr:rowOff>141514</xdr:rowOff>
    </xdr:from>
    <xdr:to>
      <xdr:col>4</xdr:col>
      <xdr:colOff>157843</xdr:colOff>
      <xdr:row>4</xdr:row>
      <xdr:rowOff>38100</xdr:rowOff>
    </xdr:to>
    <xdr:sp macro="" textlink="">
      <xdr:nvSpPr>
        <xdr:cNvPr id="9" name="TextBox 8">
          <a:extLst>
            <a:ext uri="{FF2B5EF4-FFF2-40B4-BE49-F238E27FC236}">
              <a16:creationId xmlns:a16="http://schemas.microsoft.com/office/drawing/2014/main" id="{37C90ACF-326F-F674-D1EB-45C21D71DDF2}"/>
            </a:ext>
          </a:extLst>
        </xdr:cNvPr>
        <xdr:cNvSpPr txBox="1"/>
      </xdr:nvSpPr>
      <xdr:spPr>
        <a:xfrm>
          <a:off x="996043" y="511628"/>
          <a:ext cx="1774371" cy="2667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100">
              <a:solidFill>
                <a:schemeClr val="tx1"/>
              </a:solidFill>
              <a:latin typeface="Aptos ExtraBold" panose="020F0502020204030204" pitchFamily="34" charset="0"/>
            </a:rPr>
            <a:t>Total </a:t>
          </a:r>
          <a:r>
            <a:rPr lang="en-US" sz="1100" baseline="0">
              <a:solidFill>
                <a:schemeClr val="tx1"/>
              </a:solidFill>
              <a:latin typeface="Aptos ExtraBold" panose="020F0502020204030204" pitchFamily="34" charset="0"/>
            </a:rPr>
            <a:t>Procurement</a:t>
          </a:r>
        </a:p>
      </xdr:txBody>
    </xdr:sp>
    <xdr:clientData/>
  </xdr:twoCellAnchor>
  <xdr:twoCellAnchor>
    <xdr:from>
      <xdr:col>0</xdr:col>
      <xdr:colOff>10979</xdr:colOff>
      <xdr:row>0</xdr:row>
      <xdr:rowOff>56045</xdr:rowOff>
    </xdr:from>
    <xdr:to>
      <xdr:col>19</xdr:col>
      <xdr:colOff>203891</xdr:colOff>
      <xdr:row>29</xdr:row>
      <xdr:rowOff>97382</xdr:rowOff>
    </xdr:to>
    <xdr:sp macro="" textlink="">
      <xdr:nvSpPr>
        <xdr:cNvPr id="81" name="Rectangle 1">
          <a:extLst>
            <a:ext uri="{FF2B5EF4-FFF2-40B4-BE49-F238E27FC236}">
              <a16:creationId xmlns:a16="http://schemas.microsoft.com/office/drawing/2014/main" id="{4BE70346-AAB3-6865-E5A8-6F6F64B56866}"/>
            </a:ext>
          </a:extLst>
        </xdr:cNvPr>
        <xdr:cNvSpPr/>
      </xdr:nvSpPr>
      <xdr:spPr>
        <a:xfrm>
          <a:off x="10979" y="56045"/>
          <a:ext cx="11770437" cy="5435630"/>
        </a:xfrm>
        <a:prstGeom prst="rect">
          <a:avLst/>
        </a:prstGeom>
        <a:solidFill>
          <a:schemeClr val="tx1"/>
        </a:solidFill>
        <a:ln>
          <a:noFill/>
        </a:ln>
        <a:effectLst>
          <a:glow rad="63500">
            <a:schemeClr val="accent2">
              <a:satMod val="175000"/>
              <a:alpha val="40000"/>
            </a:schemeClr>
          </a:glow>
          <a:outerShdw blurRad="107950" dist="50800" dir="5400000" sx="97000" sy="97000" algn="ctr">
            <a:srgbClr val="000000"/>
          </a:outerShdw>
          <a:softEdge rad="25400"/>
        </a:effectLst>
        <a:scene3d>
          <a:camera prst="orthographicFront">
            <a:rot lat="0" lon="0" rev="0"/>
          </a:camera>
          <a:lightRig rig="soft" dir="t">
            <a:rot lat="0" lon="0" rev="0"/>
          </a:lightRig>
        </a:scene3d>
        <a:sp3d contourW="44450" prstMaterial="matte">
          <a:bevelT w="63500" h="63500" prst="artDeco"/>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latin typeface="Calibri" panose="020F0502020204030204" pitchFamily="34" charset="0"/>
              <a:ea typeface="Calibri" panose="020F0502020204030204" pitchFamily="34" charset="0"/>
              <a:cs typeface="Calibri" panose="020F0502020204030204" pitchFamily="34" charset="0"/>
            </a:rPr>
            <a:t>                             </a:t>
          </a:r>
          <a:r>
            <a:rPr lang="en-US" sz="2800" b="1">
              <a:solidFill>
                <a:schemeClr val="bg1"/>
              </a:solidFill>
              <a:latin typeface="Calibri" panose="020F0502020204030204" pitchFamily="34" charset="0"/>
              <a:ea typeface="Calibri" panose="020F0502020204030204" pitchFamily="34" charset="0"/>
              <a:cs typeface="Calibri" panose="020F0502020204030204" pitchFamily="34" charset="0"/>
            </a:rPr>
            <a:t>Vendor Performance &amp; Procurement Optimization Dashboard </a:t>
          </a:r>
          <a:endParaRPr lang="en-US" sz="11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118640</xdr:colOff>
      <xdr:row>3</xdr:row>
      <xdr:rowOff>11026</xdr:rowOff>
    </xdr:from>
    <xdr:to>
      <xdr:col>2</xdr:col>
      <xdr:colOff>175273</xdr:colOff>
      <xdr:row>7</xdr:row>
      <xdr:rowOff>0</xdr:rowOff>
    </xdr:to>
    <xdr:sp macro="" textlink="'KPI CARDS'!B3:B4">
      <xdr:nvSpPr>
        <xdr:cNvPr id="12" name="Rectangle: Rounded Corners 2">
          <a:extLst>
            <a:ext uri="{FF2B5EF4-FFF2-40B4-BE49-F238E27FC236}">
              <a16:creationId xmlns:a16="http://schemas.microsoft.com/office/drawing/2014/main" id="{3F74F1FE-3B48-666C-DB1E-DDEB8D597E1E}"/>
            </a:ext>
          </a:extLst>
        </xdr:cNvPr>
        <xdr:cNvSpPr/>
      </xdr:nvSpPr>
      <xdr:spPr>
        <a:xfrm>
          <a:off x="118640" y="576245"/>
          <a:ext cx="1368501" cy="742601"/>
        </a:xfrm>
        <a:prstGeom prst="roundRect">
          <a:avLst/>
        </a:prstGeom>
        <a:solidFill>
          <a:schemeClr val="accent2">
            <a:lumMod val="75000"/>
          </a:schemeClr>
        </a:solidFill>
        <a:ln>
          <a:noFill/>
        </a:ln>
        <a:effectLst>
          <a:outerShdw blurRad="50800" dist="38100" algn="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rgbClr val="000000"/>
            </a:solidFill>
            <a:latin typeface="Book Antiqua" panose="02040602050305030304" pitchFamily="18" charset="0"/>
            <a:ea typeface="+mn-ea"/>
            <a:cs typeface="+mn-cs"/>
          </a:endParaRPr>
        </a:p>
        <a:p>
          <a:pPr marL="0" indent="0" algn="l"/>
          <a:r>
            <a:rPr lang="en-US" sz="1600" b="1" i="0" u="none" strike="noStrike">
              <a:solidFill>
                <a:srgbClr val="000000"/>
              </a:solidFill>
              <a:latin typeface="Book Antiqua" panose="02040602050305030304" pitchFamily="18" charset="0"/>
              <a:ea typeface="+mn-ea"/>
              <a:cs typeface="+mn-cs"/>
            </a:rPr>
            <a:t> </a:t>
          </a:r>
          <a:fld id="{1AA8855B-1C7F-42A5-B7B7-0D6BA75FAC55}" type="TxLink">
            <a:rPr lang="en-US" sz="1600" b="1" i="0" u="none" strike="noStrike">
              <a:solidFill>
                <a:srgbClr val="000000"/>
              </a:solidFill>
              <a:latin typeface="Book Antiqua" panose="02040602050305030304" pitchFamily="18" charset="0"/>
              <a:ea typeface="+mn-ea"/>
              <a:cs typeface="+mn-cs"/>
            </a:rPr>
            <a:pPr marL="0" indent="0" algn="l"/>
            <a:t>₹ 4,61,948</a:t>
          </a:fld>
          <a:endParaRPr lang="en-US" sz="1600" b="1" i="0" u="none" strike="noStrike">
            <a:solidFill>
              <a:srgbClr val="000000"/>
            </a:solidFill>
            <a:latin typeface="Book Antiqua" panose="02040602050305030304" pitchFamily="18" charset="0"/>
            <a:ea typeface="+mn-ea"/>
            <a:cs typeface="+mn-cs"/>
          </a:endParaRPr>
        </a:p>
      </xdr:txBody>
    </xdr:sp>
    <xdr:clientData/>
  </xdr:twoCellAnchor>
  <xdr:twoCellAnchor>
    <xdr:from>
      <xdr:col>0</xdr:col>
      <xdr:colOff>69232</xdr:colOff>
      <xdr:row>2</xdr:row>
      <xdr:rowOff>166914</xdr:rowOff>
    </xdr:from>
    <xdr:to>
      <xdr:col>2</xdr:col>
      <xdr:colOff>259772</xdr:colOff>
      <xdr:row>5</xdr:row>
      <xdr:rowOff>91892</xdr:rowOff>
    </xdr:to>
    <xdr:sp macro="" textlink="">
      <xdr:nvSpPr>
        <xdr:cNvPr id="13" name="TextBox 5">
          <a:extLst>
            <a:ext uri="{FF2B5EF4-FFF2-40B4-BE49-F238E27FC236}">
              <a16:creationId xmlns:a16="http://schemas.microsoft.com/office/drawing/2014/main" id="{F678FACD-E771-D3A0-5A5A-9CBE398FF66D}"/>
            </a:ext>
          </a:extLst>
        </xdr:cNvPr>
        <xdr:cNvSpPr txBox="1"/>
      </xdr:nvSpPr>
      <xdr:spPr>
        <a:xfrm>
          <a:off x="69232" y="551762"/>
          <a:ext cx="1402813" cy="502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100">
              <a:solidFill>
                <a:schemeClr val="accent6"/>
              </a:solidFill>
              <a:latin typeface="Aptos ExtraBold" panose="020F0502020204030204" pitchFamily="34" charset="0"/>
            </a:rPr>
            <a:t>Total </a:t>
          </a:r>
          <a:r>
            <a:rPr lang="en-US" sz="1100" baseline="0">
              <a:solidFill>
                <a:schemeClr val="accent6"/>
              </a:solidFill>
              <a:latin typeface="Aptos ExtraBold" panose="020F0502020204030204" pitchFamily="34" charset="0"/>
            </a:rPr>
            <a:t>Procurement</a:t>
          </a:r>
        </a:p>
      </xdr:txBody>
    </xdr:sp>
    <xdr:clientData/>
  </xdr:twoCellAnchor>
  <xdr:twoCellAnchor>
    <xdr:from>
      <xdr:col>2</xdr:col>
      <xdr:colOff>272706</xdr:colOff>
      <xdr:row>3</xdr:row>
      <xdr:rowOff>11026</xdr:rowOff>
    </xdr:from>
    <xdr:to>
      <xdr:col>4</xdr:col>
      <xdr:colOff>329340</xdr:colOff>
      <xdr:row>6</xdr:row>
      <xdr:rowOff>181428</xdr:rowOff>
    </xdr:to>
    <xdr:sp macro="" textlink="'KPI CARDS'!F2:F3">
      <xdr:nvSpPr>
        <xdr:cNvPr id="45" name="Rectangle: Rounded Corners 6">
          <a:extLst>
            <a:ext uri="{FF2B5EF4-FFF2-40B4-BE49-F238E27FC236}">
              <a16:creationId xmlns:a16="http://schemas.microsoft.com/office/drawing/2014/main" id="{28856A3E-317A-3DB0-9508-2088F71B6846}"/>
            </a:ext>
          </a:extLst>
        </xdr:cNvPr>
        <xdr:cNvSpPr/>
      </xdr:nvSpPr>
      <xdr:spPr>
        <a:xfrm>
          <a:off x="1578992" y="570863"/>
          <a:ext cx="1362919" cy="730238"/>
        </a:xfrm>
        <a:prstGeom prst="roundRect">
          <a:avLst/>
        </a:prstGeom>
        <a:solidFill>
          <a:schemeClr val="accent2">
            <a:lumMod val="75000"/>
          </a:schemeClr>
        </a:solidFill>
        <a:ln>
          <a:noFill/>
        </a:ln>
        <a:effectLst>
          <a:outerShdw blurRad="50800" dist="38100" algn="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rgbClr val="000000"/>
            </a:solidFill>
            <a:latin typeface="Book Antiqua" panose="02040602050305030304" pitchFamily="18" charset="0"/>
          </a:endParaRPr>
        </a:p>
        <a:p>
          <a:pPr algn="l"/>
          <a:r>
            <a:rPr lang="en-US" sz="1600" b="1" i="0" u="none" strike="noStrike">
              <a:solidFill>
                <a:srgbClr val="000000"/>
              </a:solidFill>
              <a:latin typeface="Book Antiqua" panose="02040602050305030304" pitchFamily="18" charset="0"/>
            </a:rPr>
            <a:t>     </a:t>
          </a:r>
          <a:fld id="{D9EE0D3A-B697-4CBD-BB4C-07170959A81A}" type="TxLink">
            <a:rPr lang="en-US" sz="1600" b="1" i="0" u="none" strike="noStrike">
              <a:solidFill>
                <a:srgbClr val="000000"/>
              </a:solidFill>
              <a:latin typeface="Book Antiqua" panose="02040602050305030304" pitchFamily="18" charset="0"/>
            </a:rPr>
            <a:pPr algn="l"/>
            <a:t>1 Day</a:t>
          </a:fld>
          <a:endParaRPr lang="en-US" sz="1600" b="1" i="0" u="none" strike="noStrike">
            <a:solidFill>
              <a:srgbClr val="000000"/>
            </a:solidFill>
            <a:latin typeface="Book Antiqua" panose="02040602050305030304" pitchFamily="18" charset="0"/>
          </a:endParaRPr>
        </a:p>
      </xdr:txBody>
    </xdr:sp>
    <xdr:clientData/>
  </xdr:twoCellAnchor>
  <xdr:twoCellAnchor>
    <xdr:from>
      <xdr:col>2</xdr:col>
      <xdr:colOff>223298</xdr:colOff>
      <xdr:row>2</xdr:row>
      <xdr:rowOff>47625</xdr:rowOff>
    </xdr:from>
    <xdr:to>
      <xdr:col>4</xdr:col>
      <xdr:colOff>402980</xdr:colOff>
      <xdr:row>5</xdr:row>
      <xdr:rowOff>180974</xdr:rowOff>
    </xdr:to>
    <xdr:sp macro="" textlink="">
      <xdr:nvSpPr>
        <xdr:cNvPr id="40" name="TextBox 7">
          <a:extLst>
            <a:ext uri="{FF2B5EF4-FFF2-40B4-BE49-F238E27FC236}">
              <a16:creationId xmlns:a16="http://schemas.microsoft.com/office/drawing/2014/main" id="{68A55ED7-94DF-0B76-1DC1-BA8E68958AD2}"/>
            </a:ext>
          </a:extLst>
        </xdr:cNvPr>
        <xdr:cNvSpPr txBox="1"/>
      </xdr:nvSpPr>
      <xdr:spPr>
        <a:xfrm>
          <a:off x="1442498" y="428625"/>
          <a:ext cx="1398882" cy="70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b="1">
              <a:solidFill>
                <a:schemeClr val="accent6"/>
              </a:solidFill>
              <a:latin typeface="Aptos ExtraBold" panose="020B0004020202020204" pitchFamily="34" charset="0"/>
            </a:rPr>
            <a:t>Avg Delivery Delay</a:t>
          </a:r>
          <a:endParaRPr lang="en-US" sz="1100" b="1" baseline="0">
            <a:solidFill>
              <a:schemeClr val="accent6"/>
            </a:solidFill>
            <a:latin typeface="Aptos ExtraBold" panose="020B0004020202020204" pitchFamily="34" charset="0"/>
          </a:endParaRPr>
        </a:p>
      </xdr:txBody>
    </xdr:sp>
    <xdr:clientData/>
  </xdr:twoCellAnchor>
  <xdr:twoCellAnchor>
    <xdr:from>
      <xdr:col>4</xdr:col>
      <xdr:colOff>438235</xdr:colOff>
      <xdr:row>3</xdr:row>
      <xdr:rowOff>419</xdr:rowOff>
    </xdr:from>
    <xdr:to>
      <xdr:col>6</xdr:col>
      <xdr:colOff>494868</xdr:colOff>
      <xdr:row>6</xdr:row>
      <xdr:rowOff>174450</xdr:rowOff>
    </xdr:to>
    <xdr:sp macro="" textlink="'KPI CARDS'!D3:D4">
      <xdr:nvSpPr>
        <xdr:cNvPr id="16" name="Rectangle: Rounded Corners 9">
          <a:extLst>
            <a:ext uri="{FF2B5EF4-FFF2-40B4-BE49-F238E27FC236}">
              <a16:creationId xmlns:a16="http://schemas.microsoft.com/office/drawing/2014/main" id="{14D1729D-E002-4BD5-1CAC-1B6FAD620765}"/>
            </a:ext>
          </a:extLst>
        </xdr:cNvPr>
        <xdr:cNvSpPr/>
      </xdr:nvSpPr>
      <xdr:spPr>
        <a:xfrm>
          <a:off x="2876635" y="555590"/>
          <a:ext cx="1275833" cy="729203"/>
        </a:xfrm>
        <a:prstGeom prst="roundRect">
          <a:avLst/>
        </a:prstGeom>
        <a:solidFill>
          <a:schemeClr val="accent2">
            <a:lumMod val="75000"/>
          </a:schemeClr>
        </a:solidFill>
        <a:ln>
          <a:noFill/>
        </a:ln>
        <a:effectLst>
          <a:outerShdw blurRad="50800" dist="38100" algn="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i="0" u="none" strike="noStrike">
            <a:solidFill>
              <a:srgbClr val="000000"/>
            </a:solidFill>
            <a:latin typeface="Book Antiqua" panose="02040602050305030304" pitchFamily="18" charset="0"/>
          </a:endParaRPr>
        </a:p>
        <a:p>
          <a:pPr algn="ctr"/>
          <a:fld id="{85C90BFA-9A6C-49BA-A3C9-C444A7C83CDA}" type="TxLink">
            <a:rPr lang="en-US" sz="1600" b="1" i="0" u="none" strike="noStrike">
              <a:solidFill>
                <a:srgbClr val="000000"/>
              </a:solidFill>
              <a:latin typeface="Book Antiqua" panose="02040602050305030304" pitchFamily="18" charset="0"/>
            </a:rPr>
            <a:pPr algn="ctr"/>
            <a:t>Nova</a:t>
          </a:fld>
          <a:endParaRPr lang="en-US" sz="1600" b="1" i="0" u="none" strike="noStrike">
            <a:solidFill>
              <a:srgbClr val="000000"/>
            </a:solidFill>
            <a:latin typeface="Book Antiqua" panose="02040602050305030304" pitchFamily="18" charset="0"/>
          </a:endParaRPr>
        </a:p>
      </xdr:txBody>
    </xdr:sp>
    <xdr:clientData/>
  </xdr:twoCellAnchor>
  <xdr:twoCellAnchor>
    <xdr:from>
      <xdr:col>4</xdr:col>
      <xdr:colOff>388827</xdr:colOff>
      <xdr:row>2</xdr:row>
      <xdr:rowOff>180311</xdr:rowOff>
    </xdr:from>
    <xdr:to>
      <xdr:col>6</xdr:col>
      <xdr:colOff>533390</xdr:colOff>
      <xdr:row>5</xdr:row>
      <xdr:rowOff>69555</xdr:rowOff>
    </xdr:to>
    <xdr:sp macro="" textlink="">
      <xdr:nvSpPr>
        <xdr:cNvPr id="20" name="TextBox 10">
          <a:extLst>
            <a:ext uri="{FF2B5EF4-FFF2-40B4-BE49-F238E27FC236}">
              <a16:creationId xmlns:a16="http://schemas.microsoft.com/office/drawing/2014/main" id="{2615DE17-C396-3F0F-6FF6-B2928FD6BE30}"/>
            </a:ext>
          </a:extLst>
        </xdr:cNvPr>
        <xdr:cNvSpPr txBox="1"/>
      </xdr:nvSpPr>
      <xdr:spPr>
        <a:xfrm>
          <a:off x="2821880" y="547943"/>
          <a:ext cx="1361089" cy="440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200">
              <a:solidFill>
                <a:schemeClr val="accent6"/>
              </a:solidFill>
              <a:latin typeface="Aptos ExtraBold" panose="020F0502020204030204" pitchFamily="34" charset="0"/>
            </a:rPr>
            <a:t>Best Vendor</a:t>
          </a:r>
          <a:endParaRPr lang="en-US" sz="1100" baseline="0">
            <a:solidFill>
              <a:schemeClr val="accent6"/>
            </a:solidFill>
            <a:latin typeface="Aptos ExtraBold" panose="020F0502020204030204" pitchFamily="34" charset="0"/>
          </a:endParaRPr>
        </a:p>
      </xdr:txBody>
    </xdr:sp>
    <xdr:clientData/>
  </xdr:twoCellAnchor>
  <xdr:twoCellAnchor>
    <xdr:from>
      <xdr:col>6</xdr:col>
      <xdr:colOff>592170</xdr:colOff>
      <xdr:row>3</xdr:row>
      <xdr:rowOff>1691</xdr:rowOff>
    </xdr:from>
    <xdr:to>
      <xdr:col>9</xdr:col>
      <xdr:colOff>147734</xdr:colOff>
      <xdr:row>6</xdr:row>
      <xdr:rowOff>174450</xdr:rowOff>
    </xdr:to>
    <xdr:sp macro="" textlink="'KPI CARDS'!E3:E4">
      <xdr:nvSpPr>
        <xdr:cNvPr id="23" name="Rectangle: Rounded Corners 11">
          <a:extLst>
            <a:ext uri="{FF2B5EF4-FFF2-40B4-BE49-F238E27FC236}">
              <a16:creationId xmlns:a16="http://schemas.microsoft.com/office/drawing/2014/main" id="{DB66B9CE-EF64-8FB0-2AB1-6E30BD30A37F}"/>
            </a:ext>
          </a:extLst>
        </xdr:cNvPr>
        <xdr:cNvSpPr/>
      </xdr:nvSpPr>
      <xdr:spPr>
        <a:xfrm>
          <a:off x="4249770" y="556862"/>
          <a:ext cx="1384364" cy="727931"/>
        </a:xfrm>
        <a:prstGeom prst="roundRect">
          <a:avLst/>
        </a:prstGeom>
        <a:solidFill>
          <a:schemeClr val="accent2">
            <a:lumMod val="75000"/>
          </a:schemeClr>
        </a:solidFill>
        <a:ln>
          <a:noFill/>
        </a:ln>
        <a:effectLst>
          <a:outerShdw blurRad="50800" dist="38100" algn="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US" sz="1100" b="0" i="0" u="none" strike="noStrike">
            <a:solidFill>
              <a:srgbClr val="000000"/>
            </a:solidFill>
            <a:latin typeface="Aptos Narrow"/>
            <a:ea typeface="+mn-ea"/>
            <a:cs typeface="+mn-cs"/>
          </a:endParaRPr>
        </a:p>
        <a:p>
          <a:pPr marL="0" indent="0" algn="ctr"/>
          <a:fld id="{AB6871D7-5939-4515-A69D-CB7CE27AAF17}" type="TxLink">
            <a:rPr lang="en-US" sz="1600" b="1" i="0" u="none" strike="noStrike">
              <a:solidFill>
                <a:srgbClr val="000000"/>
              </a:solidFill>
              <a:latin typeface="Book Antiqua" panose="02040602050305030304" pitchFamily="18" charset="0"/>
              <a:ea typeface="+mn-ea"/>
              <a:cs typeface="+mn-cs"/>
            </a:rPr>
            <a:pPr marL="0" indent="0" algn="ctr"/>
            <a:t>Prime</a:t>
          </a:fld>
          <a:endParaRPr lang="en-US" sz="2400" b="1" i="0" u="none" strike="noStrike">
            <a:solidFill>
              <a:srgbClr val="000000"/>
            </a:solidFill>
            <a:latin typeface="Book Antiqua" panose="02040602050305030304" pitchFamily="18" charset="0"/>
            <a:ea typeface="+mn-ea"/>
            <a:cs typeface="+mn-cs"/>
          </a:endParaRPr>
        </a:p>
      </xdr:txBody>
    </xdr:sp>
    <xdr:clientData/>
  </xdr:twoCellAnchor>
  <xdr:twoCellAnchor>
    <xdr:from>
      <xdr:col>6</xdr:col>
      <xdr:colOff>549729</xdr:colOff>
      <xdr:row>2</xdr:row>
      <xdr:rowOff>145142</xdr:rowOff>
    </xdr:from>
    <xdr:to>
      <xdr:col>9</xdr:col>
      <xdr:colOff>178836</xdr:colOff>
      <xdr:row>5</xdr:row>
      <xdr:rowOff>113099</xdr:rowOff>
    </xdr:to>
    <xdr:sp macro="" textlink="">
      <xdr:nvSpPr>
        <xdr:cNvPr id="19" name="TextBox 12">
          <a:extLst>
            <a:ext uri="{FF2B5EF4-FFF2-40B4-BE49-F238E27FC236}">
              <a16:creationId xmlns:a16="http://schemas.microsoft.com/office/drawing/2014/main" id="{9E80816C-4028-2A1B-F4F0-690CC2D091F8}"/>
            </a:ext>
          </a:extLst>
        </xdr:cNvPr>
        <xdr:cNvSpPr txBox="1"/>
      </xdr:nvSpPr>
      <xdr:spPr>
        <a:xfrm>
          <a:off x="4468586" y="522514"/>
          <a:ext cx="1588535" cy="534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200">
              <a:solidFill>
                <a:schemeClr val="accent6"/>
              </a:solidFill>
              <a:latin typeface="Aptos ExtraBold" panose="020B0004020202020204" pitchFamily="34" charset="0"/>
            </a:rPr>
            <a:t>Top Profit Vendor</a:t>
          </a:r>
        </a:p>
      </xdr:txBody>
    </xdr:sp>
    <xdr:clientData/>
  </xdr:twoCellAnchor>
  <xdr:twoCellAnchor editAs="oneCell">
    <xdr:from>
      <xdr:col>9</xdr:col>
      <xdr:colOff>246829</xdr:colOff>
      <xdr:row>3</xdr:row>
      <xdr:rowOff>11856</xdr:rowOff>
    </xdr:from>
    <xdr:to>
      <xdr:col>13</xdr:col>
      <xdr:colOff>302176</xdr:colOff>
      <xdr:row>7</xdr:row>
      <xdr:rowOff>925</xdr:rowOff>
    </xdr:to>
    <mc:AlternateContent xmlns:mc="http://schemas.openxmlformats.org/markup-compatibility/2006" xmlns:a14="http://schemas.microsoft.com/office/drawing/2010/main">
      <mc:Choice Requires="a14">
        <xdr:graphicFrame macro="">
          <xdr:nvGraphicFramePr>
            <xdr:cNvPr id="4" name="Shipping_Mode">
              <a:extLst>
                <a:ext uri="{FF2B5EF4-FFF2-40B4-BE49-F238E27FC236}">
                  <a16:creationId xmlns:a16="http://schemas.microsoft.com/office/drawing/2014/main" id="{45131FBD-6DB3-44A0-9323-143CC10690F5}"/>
                </a:ext>
              </a:extLst>
            </xdr:cNvPr>
            <xdr:cNvGraphicFramePr/>
          </xdr:nvGraphicFramePr>
          <xdr:xfrm>
            <a:off x="0" y="0"/>
            <a:ext cx="0" cy="0"/>
          </xdr:xfrm>
          <a:graphic>
            <a:graphicData uri="http://schemas.microsoft.com/office/drawing/2010/slicer">
              <sle:slicer xmlns:sle="http://schemas.microsoft.com/office/drawing/2010/slicer" name="Shipping_Mode"/>
            </a:graphicData>
          </a:graphic>
        </xdr:graphicFrame>
      </mc:Choice>
      <mc:Fallback xmlns="">
        <xdr:sp macro="" textlink="">
          <xdr:nvSpPr>
            <xdr:cNvPr id="0" name=""/>
            <xdr:cNvSpPr>
              <a:spLocks noTextEdit="1"/>
            </xdr:cNvSpPr>
          </xdr:nvSpPr>
          <xdr:spPr>
            <a:xfrm>
              <a:off x="6125115" y="571693"/>
              <a:ext cx="2667918" cy="735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74752</xdr:colOff>
      <xdr:row>7</xdr:row>
      <xdr:rowOff>90714</xdr:rowOff>
    </xdr:from>
    <xdr:to>
      <xdr:col>6</xdr:col>
      <xdr:colOff>42412</xdr:colOff>
      <xdr:row>17</xdr:row>
      <xdr:rowOff>183783</xdr:rowOff>
    </xdr:to>
    <xdr:graphicFrame macro="">
      <xdr:nvGraphicFramePr>
        <xdr:cNvPr id="22" name="Chart 5">
          <a:extLst>
            <a:ext uri="{FF2B5EF4-FFF2-40B4-BE49-F238E27FC236}">
              <a16:creationId xmlns:a16="http://schemas.microsoft.com/office/drawing/2014/main" id="{2A777AE2-4983-4ABC-86B4-CAE595152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59617</xdr:colOff>
      <xdr:row>18</xdr:row>
      <xdr:rowOff>83736</xdr:rowOff>
    </xdr:from>
    <xdr:to>
      <xdr:col>6</xdr:col>
      <xdr:colOff>42412</xdr:colOff>
      <xdr:row>28</xdr:row>
      <xdr:rowOff>161925</xdr:rowOff>
    </xdr:to>
    <xdr:graphicFrame macro="">
      <xdr:nvGraphicFramePr>
        <xdr:cNvPr id="26" name="Chart 6">
          <a:extLst>
            <a:ext uri="{FF2B5EF4-FFF2-40B4-BE49-F238E27FC236}">
              <a16:creationId xmlns:a16="http://schemas.microsoft.com/office/drawing/2014/main" id="{1BDEC9D6-C076-4E16-896E-2C0D4FCDC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291157</xdr:colOff>
      <xdr:row>3</xdr:row>
      <xdr:rowOff>3966</xdr:rowOff>
    </xdr:from>
    <xdr:to>
      <xdr:col>19</xdr:col>
      <xdr:colOff>182301</xdr:colOff>
      <xdr:row>14</xdr:row>
      <xdr:rowOff>137943</xdr:rowOff>
    </xdr:to>
    <mc:AlternateContent xmlns:mc="http://schemas.openxmlformats.org/markup-compatibility/2006" xmlns:a14="http://schemas.microsoft.com/office/drawing/2010/main">
      <mc:Choice Requires="a14">
        <xdr:graphicFrame macro="">
          <xdr:nvGraphicFramePr>
            <xdr:cNvPr id="91" name="Category">
              <a:extLst>
                <a:ext uri="{FF2B5EF4-FFF2-40B4-BE49-F238E27FC236}">
                  <a16:creationId xmlns:a16="http://schemas.microsoft.com/office/drawing/2014/main" id="{BBC8328D-37A7-48F1-9188-CBBD97F3C75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346519" y="555321"/>
              <a:ext cx="1191774" cy="2155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315968</xdr:colOff>
      <xdr:row>15</xdr:row>
      <xdr:rowOff>38101</xdr:rowOff>
    </xdr:from>
    <xdr:to>
      <xdr:col>19</xdr:col>
      <xdr:colOff>187173</xdr:colOff>
      <xdr:row>28</xdr:row>
      <xdr:rowOff>76957</xdr:rowOff>
    </xdr:to>
    <mc:AlternateContent xmlns:mc="http://schemas.openxmlformats.org/markup-compatibility/2006" xmlns:a14="http://schemas.microsoft.com/office/drawing/2010/main">
      <mc:Choice Requires="a14">
        <xdr:graphicFrame macro="">
          <xdr:nvGraphicFramePr>
            <xdr:cNvPr id="94" name="Country">
              <a:extLst>
                <a:ext uri="{FF2B5EF4-FFF2-40B4-BE49-F238E27FC236}">
                  <a16:creationId xmlns:a16="http://schemas.microsoft.com/office/drawing/2014/main" id="{30D1DBF8-E5D1-4E97-89B9-C850CFB0577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66847" y="2864200"/>
              <a:ext cx="1183073" cy="2488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401807</xdr:colOff>
      <xdr:row>3</xdr:row>
      <xdr:rowOff>11039</xdr:rowOff>
    </xdr:from>
    <xdr:to>
      <xdr:col>17</xdr:col>
      <xdr:colOff>87795</xdr:colOff>
      <xdr:row>6</xdr:row>
      <xdr:rowOff>168728</xdr:rowOff>
    </xdr:to>
    <mc:AlternateContent xmlns:mc="http://schemas.openxmlformats.org/markup-compatibility/2006" xmlns:a14="http://schemas.microsoft.com/office/drawing/2010/main">
      <mc:Choice Requires="a14">
        <xdr:graphicFrame macro="">
          <xdr:nvGraphicFramePr>
            <xdr:cNvPr id="96" name="Region">
              <a:extLst>
                <a:ext uri="{FF2B5EF4-FFF2-40B4-BE49-F238E27FC236}">
                  <a16:creationId xmlns:a16="http://schemas.microsoft.com/office/drawing/2014/main" id="{0C537237-30C2-4014-A38D-B2E2EE268A7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55907" y="562394"/>
              <a:ext cx="2287250" cy="709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99510</xdr:colOff>
      <xdr:row>7</xdr:row>
      <xdr:rowOff>83246</xdr:rowOff>
    </xdr:from>
    <xdr:to>
      <xdr:col>11</xdr:col>
      <xdr:colOff>558425</xdr:colOff>
      <xdr:row>18</xdr:row>
      <xdr:rowOff>21206</xdr:rowOff>
    </xdr:to>
    <xdr:graphicFrame macro="">
      <xdr:nvGraphicFramePr>
        <xdr:cNvPr id="28" name="Chart 96">
          <a:extLst>
            <a:ext uri="{FF2B5EF4-FFF2-40B4-BE49-F238E27FC236}">
              <a16:creationId xmlns:a16="http://schemas.microsoft.com/office/drawing/2014/main" id="{F23A415D-245A-445A-8DCB-4A4C90DF3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99688</xdr:colOff>
      <xdr:row>18</xdr:row>
      <xdr:rowOff>83783</xdr:rowOff>
    </xdr:from>
    <xdr:to>
      <xdr:col>11</xdr:col>
      <xdr:colOff>586699</xdr:colOff>
      <xdr:row>29</xdr:row>
      <xdr:rowOff>41517</xdr:rowOff>
    </xdr:to>
    <xdr:graphicFrame macro="">
      <xdr:nvGraphicFramePr>
        <xdr:cNvPr id="27" name="Chart 97">
          <a:extLst>
            <a:ext uri="{FF2B5EF4-FFF2-40B4-BE49-F238E27FC236}">
              <a16:creationId xmlns:a16="http://schemas.microsoft.com/office/drawing/2014/main" id="{971150DA-B086-47C7-9106-DD896CD50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643247</xdr:colOff>
      <xdr:row>18</xdr:row>
      <xdr:rowOff>77755</xdr:rowOff>
    </xdr:from>
    <xdr:to>
      <xdr:col>17</xdr:col>
      <xdr:colOff>212059</xdr:colOff>
      <xdr:row>29</xdr:row>
      <xdr:rowOff>14138</xdr:rowOff>
    </xdr:to>
    <xdr:sp macro="" textlink="">
      <xdr:nvSpPr>
        <xdr:cNvPr id="2" name="TextBox 1">
          <a:extLst>
            <a:ext uri="{FF2B5EF4-FFF2-40B4-BE49-F238E27FC236}">
              <a16:creationId xmlns:a16="http://schemas.microsoft.com/office/drawing/2014/main" id="{E3BBF43C-8297-D9F0-5A69-60432855EA04}"/>
            </a:ext>
          </a:extLst>
        </xdr:cNvPr>
        <xdr:cNvSpPr txBox="1"/>
      </xdr:nvSpPr>
      <xdr:spPr>
        <a:xfrm>
          <a:off x="7796716" y="3385881"/>
          <a:ext cx="3470705" cy="1958015"/>
        </a:xfrm>
        <a:prstGeom prst="rect">
          <a:avLst/>
        </a:prstGeom>
        <a:solidFill>
          <a:schemeClr val="tx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11</xdr:col>
      <xdr:colOff>605448</xdr:colOff>
      <xdr:row>18</xdr:row>
      <xdr:rowOff>134305</xdr:rowOff>
    </xdr:from>
    <xdr:ext cx="3187960" cy="336631"/>
    <xdr:sp macro="" textlink="PIVOTS!J17:K17">
      <xdr:nvSpPr>
        <xdr:cNvPr id="6" name="TextBox 5">
          <a:extLst>
            <a:ext uri="{FF2B5EF4-FFF2-40B4-BE49-F238E27FC236}">
              <a16:creationId xmlns:a16="http://schemas.microsoft.com/office/drawing/2014/main" id="{6EF7FD38-C4B3-AD47-C980-060153D57F6B}"/>
            </a:ext>
          </a:extLst>
        </xdr:cNvPr>
        <xdr:cNvSpPr txBox="1"/>
      </xdr:nvSpPr>
      <xdr:spPr>
        <a:xfrm>
          <a:off x="7291091" y="3400019"/>
          <a:ext cx="3187960"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326CF48-303E-4E8C-949D-6BBDB9F2F002}" type="TxLink">
            <a:rPr lang="en-US" sz="1400" b="1" i="0" u="none" strike="noStrike">
              <a:solidFill>
                <a:srgbClr val="FFC000"/>
              </a:solidFill>
              <a:latin typeface="+mj-lt"/>
            </a:rPr>
            <a:pPr/>
            <a:t> 📢 INSIGHTS</a:t>
          </a:fld>
          <a:endParaRPr lang="en-US" sz="1400" b="1">
            <a:solidFill>
              <a:srgbClr val="FFC000"/>
            </a:solidFill>
            <a:latin typeface="+mj-lt"/>
          </a:endParaRPr>
        </a:p>
      </xdr:txBody>
    </xdr:sp>
    <xdr:clientData/>
  </xdr:oneCellAnchor>
  <xdr:oneCellAnchor>
    <xdr:from>
      <xdr:col>12</xdr:col>
      <xdr:colOff>28276</xdr:colOff>
      <xdr:row>20</xdr:row>
      <xdr:rowOff>169646</xdr:rowOff>
    </xdr:from>
    <xdr:ext cx="2155936" cy="319255"/>
    <xdr:sp macro="" textlink="PIVOTS!J19:K19">
      <xdr:nvSpPr>
        <xdr:cNvPr id="7" name="TextBox 6">
          <a:extLst>
            <a:ext uri="{FF2B5EF4-FFF2-40B4-BE49-F238E27FC236}">
              <a16:creationId xmlns:a16="http://schemas.microsoft.com/office/drawing/2014/main" id="{19A40C31-0D75-F0D0-DB36-FA7534A4F2E8}"/>
            </a:ext>
          </a:extLst>
        </xdr:cNvPr>
        <xdr:cNvSpPr txBox="1"/>
      </xdr:nvSpPr>
      <xdr:spPr>
        <a:xfrm>
          <a:off x="7343476" y="3852646"/>
          <a:ext cx="2155936" cy="319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E50E70C-1A31-44CC-A1C7-851740C55E0F}" type="TxLink">
            <a:rPr lang="en-US" sz="1300" b="0" i="0" u="none" strike="noStrike">
              <a:solidFill>
                <a:schemeClr val="bg1"/>
              </a:solidFill>
              <a:latin typeface="Aptos ExtraBold" panose="020B0004020202020204" pitchFamily="34" charset="0"/>
              <a:cs typeface="Aharoni" panose="020F0502020204030204" pitchFamily="2" charset="-79"/>
            </a:rPr>
            <a:pPr/>
            <a:t>✅Best Vendor: Nova</a:t>
          </a:fld>
          <a:endParaRPr lang="en-US" sz="1300" b="0">
            <a:solidFill>
              <a:schemeClr val="bg1"/>
            </a:solidFill>
            <a:latin typeface="Aptos ExtraBold" panose="020B0004020202020204" pitchFamily="34" charset="0"/>
            <a:cs typeface="Aharoni" panose="020F0502020204030204" pitchFamily="2" charset="-79"/>
          </a:endParaRPr>
        </a:p>
      </xdr:txBody>
    </xdr:sp>
    <xdr:clientData/>
  </xdr:oneCellAnchor>
  <xdr:oneCellAnchor>
    <xdr:from>
      <xdr:col>12</xdr:col>
      <xdr:colOff>91893</xdr:colOff>
      <xdr:row>22</xdr:row>
      <xdr:rowOff>84822</xdr:rowOff>
    </xdr:from>
    <xdr:ext cx="2233692" cy="264560"/>
    <xdr:sp macro="" textlink="PIVOTS!J20">
      <xdr:nvSpPr>
        <xdr:cNvPr id="8" name="TextBox 7">
          <a:extLst>
            <a:ext uri="{FF2B5EF4-FFF2-40B4-BE49-F238E27FC236}">
              <a16:creationId xmlns:a16="http://schemas.microsoft.com/office/drawing/2014/main" id="{077D0B70-F988-D0E8-5FCA-B8AEC3546FDE}"/>
            </a:ext>
          </a:extLst>
        </xdr:cNvPr>
        <xdr:cNvSpPr txBox="1"/>
      </xdr:nvSpPr>
      <xdr:spPr>
        <a:xfrm>
          <a:off x="7895677" y="4128087"/>
          <a:ext cx="22336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19D4214-6C76-4D8A-99DB-F77E7101D39F}" type="TxLink">
            <a:rPr lang="en-US" sz="1100" b="0" i="0" u="none" strike="noStrike">
              <a:solidFill>
                <a:srgbClr val="FFC000"/>
              </a:solidFill>
              <a:latin typeface="Aptos Narrow"/>
              <a:cs typeface="Aharoni" panose="020F0502020204030204" pitchFamily="2" charset="-79"/>
            </a:rPr>
            <a:pPr/>
            <a:t>→ Strong cost + delivery + profit</a:t>
          </a:fld>
          <a:endParaRPr lang="en-US" sz="1100" b="0">
            <a:solidFill>
              <a:srgbClr val="FFC000"/>
            </a:solidFill>
            <a:latin typeface="Aptos ExtraBold" panose="020B0004020202020204" pitchFamily="34" charset="0"/>
            <a:cs typeface="Aharoni" panose="020F0502020204030204" pitchFamily="2" charset="-79"/>
          </a:endParaRPr>
        </a:p>
      </xdr:txBody>
    </xdr:sp>
    <xdr:clientData/>
  </xdr:oneCellAnchor>
  <xdr:oneCellAnchor>
    <xdr:from>
      <xdr:col>12</xdr:col>
      <xdr:colOff>56549</xdr:colOff>
      <xdr:row>24</xdr:row>
      <xdr:rowOff>127235</xdr:rowOff>
    </xdr:from>
    <xdr:ext cx="3588351" cy="327975"/>
    <xdr:sp macro="" textlink="PIVOTS!J21:K21">
      <xdr:nvSpPr>
        <xdr:cNvPr id="10" name="TextBox 9">
          <a:extLst>
            <a:ext uri="{FF2B5EF4-FFF2-40B4-BE49-F238E27FC236}">
              <a16:creationId xmlns:a16="http://schemas.microsoft.com/office/drawing/2014/main" id="{C88BA22B-B265-B037-DA75-B0EAFBBA6CD5}"/>
            </a:ext>
          </a:extLst>
        </xdr:cNvPr>
        <xdr:cNvSpPr txBox="1"/>
      </xdr:nvSpPr>
      <xdr:spPr>
        <a:xfrm>
          <a:off x="7371749" y="4546835"/>
          <a:ext cx="3588351" cy="3279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A6CD519-32D2-42E2-9A78-3878491F2CB0}" type="TxLink">
            <a:rPr lang="en-US" sz="1300" b="0" i="0" u="none" strike="noStrike">
              <a:solidFill>
                <a:schemeClr val="bg1"/>
              </a:solidFill>
              <a:latin typeface="Aptos ExtraBold" panose="020B0004020202020204" pitchFamily="34" charset="0"/>
              <a:cs typeface="Aharoni" panose="020F0502020204030204" pitchFamily="2" charset="-79"/>
            </a:rPr>
            <a:pPr/>
            <a:t>⚠️Attention: Vertex is underperforming</a:t>
          </a:fld>
          <a:endParaRPr lang="en-US" sz="1300" b="0">
            <a:solidFill>
              <a:schemeClr val="bg1"/>
            </a:solidFill>
            <a:latin typeface="Aptos ExtraBold" panose="020B0004020202020204" pitchFamily="34" charset="0"/>
            <a:cs typeface="Aharoni" panose="020F0502020204030204" pitchFamily="2" charset="-79"/>
          </a:endParaRPr>
        </a:p>
      </xdr:txBody>
    </xdr:sp>
    <xdr:clientData/>
  </xdr:oneCellAnchor>
  <xdr:oneCellAnchor>
    <xdr:from>
      <xdr:col>12</xdr:col>
      <xdr:colOff>127237</xdr:colOff>
      <xdr:row>26</xdr:row>
      <xdr:rowOff>63616</xdr:rowOff>
    </xdr:from>
    <xdr:ext cx="2233692" cy="264560"/>
    <xdr:sp macro="" textlink="PIVOTS!J22">
      <xdr:nvSpPr>
        <xdr:cNvPr id="11" name="TextBox 10">
          <a:extLst>
            <a:ext uri="{FF2B5EF4-FFF2-40B4-BE49-F238E27FC236}">
              <a16:creationId xmlns:a16="http://schemas.microsoft.com/office/drawing/2014/main" id="{35480784-4538-EE34-1E19-46F8C6F0A749}"/>
            </a:ext>
          </a:extLst>
        </xdr:cNvPr>
        <xdr:cNvSpPr txBox="1"/>
      </xdr:nvSpPr>
      <xdr:spPr>
        <a:xfrm>
          <a:off x="7931021" y="4842020"/>
          <a:ext cx="22336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55087CF-4267-4706-9865-E34E3184A03C}" type="TxLink">
            <a:rPr lang="en-US" sz="1100" b="0" i="0" u="none" strike="noStrike">
              <a:solidFill>
                <a:srgbClr val="FFC000"/>
              </a:solidFill>
              <a:latin typeface="Aptos Narrow"/>
              <a:cs typeface="Aharoni" panose="020F0502020204030204" pitchFamily="2" charset="-79"/>
            </a:rPr>
            <a:pPr/>
            <a:t>→ Poor reliability / high cost</a:t>
          </a:fld>
          <a:endParaRPr lang="en-US" sz="1100" b="0">
            <a:solidFill>
              <a:srgbClr val="FFC000"/>
            </a:solidFill>
            <a:latin typeface="Aptos ExtraBold" panose="020B0004020202020204" pitchFamily="34" charset="0"/>
            <a:cs typeface="Aharoni" panose="020F0502020204030204" pitchFamily="2" charset="-79"/>
          </a:endParaRPr>
        </a:p>
      </xdr:txBody>
    </xdr:sp>
    <xdr:clientData/>
  </xdr:oneCellAnchor>
  <xdr:twoCellAnchor>
    <xdr:from>
      <xdr:col>11</xdr:col>
      <xdr:colOff>618439</xdr:colOff>
      <xdr:row>7</xdr:row>
      <xdr:rowOff>87147</xdr:rowOff>
    </xdr:from>
    <xdr:to>
      <xdr:col>17</xdr:col>
      <xdr:colOff>163285</xdr:colOff>
      <xdr:row>18</xdr:row>
      <xdr:rowOff>36286</xdr:rowOff>
    </xdr:to>
    <xdr:graphicFrame macro="">
      <xdr:nvGraphicFramePr>
        <xdr:cNvPr id="24" name="Chart 23">
          <a:extLst>
            <a:ext uri="{FF2B5EF4-FFF2-40B4-BE49-F238E27FC236}">
              <a16:creationId xmlns:a16="http://schemas.microsoft.com/office/drawing/2014/main" id="{A91F89B4-53F7-49FF-9D51-D15BF8406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478400</xdr:colOff>
      <xdr:row>5</xdr:row>
      <xdr:rowOff>180693</xdr:rowOff>
    </xdr:from>
    <xdr:to>
      <xdr:col>5</xdr:col>
      <xdr:colOff>117216</xdr:colOff>
      <xdr:row>6</xdr:row>
      <xdr:rowOff>137149</xdr:rowOff>
    </xdr:to>
    <xdr:sp macro="" textlink="">
      <xdr:nvSpPr>
        <xdr:cNvPr id="14" name="TextBox 7">
          <a:extLst>
            <a:ext uri="{FF2B5EF4-FFF2-40B4-BE49-F238E27FC236}">
              <a16:creationId xmlns:a16="http://schemas.microsoft.com/office/drawing/2014/main" id="{4E346656-F13C-453D-EEEF-564DBCC4E0BC}"/>
            </a:ext>
          </a:extLst>
        </xdr:cNvPr>
        <xdr:cNvSpPr txBox="1"/>
      </xdr:nvSpPr>
      <xdr:spPr>
        <a:xfrm>
          <a:off x="1132920" y="1110802"/>
          <a:ext cx="2256900" cy="142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600" b="1">
              <a:solidFill>
                <a:srgbClr val="FF0000"/>
              </a:solidFill>
            </a:rPr>
            <a:t>Low delay → efficient supply chain</a:t>
          </a:r>
          <a:endParaRPr lang="en-US" sz="600" b="1" baseline="0">
            <a:solidFill>
              <a:srgbClr val="FF0000"/>
            </a:solidFill>
            <a:latin typeface="Aptos ExtraBold" panose="020B0004020202020204" pitchFamily="34" charset="0"/>
          </a:endParaRPr>
        </a:p>
      </xdr:txBody>
    </xdr:sp>
    <xdr:clientData/>
  </xdr:twoCellAnchor>
  <xdr:twoCellAnchor>
    <xdr:from>
      <xdr:col>13</xdr:col>
      <xdr:colOff>3897</xdr:colOff>
      <xdr:row>6</xdr:row>
      <xdr:rowOff>117890</xdr:rowOff>
    </xdr:from>
    <xdr:to>
      <xdr:col>16</xdr:col>
      <xdr:colOff>447675</xdr:colOff>
      <xdr:row>7</xdr:row>
      <xdr:rowOff>85725</xdr:rowOff>
    </xdr:to>
    <xdr:sp macro="" textlink="">
      <xdr:nvSpPr>
        <xdr:cNvPr id="15" name="TextBox 7">
          <a:extLst>
            <a:ext uri="{FF2B5EF4-FFF2-40B4-BE49-F238E27FC236}">
              <a16:creationId xmlns:a16="http://schemas.microsoft.com/office/drawing/2014/main" id="{D72715AA-F92C-447D-A0C4-BE50FE3182A1}"/>
            </a:ext>
          </a:extLst>
        </xdr:cNvPr>
        <xdr:cNvSpPr txBox="1"/>
      </xdr:nvSpPr>
      <xdr:spPr>
        <a:xfrm>
          <a:off x="7928697" y="1260890"/>
          <a:ext cx="2272578" cy="158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900">
              <a:solidFill>
                <a:schemeClr val="accent6"/>
              </a:solidFill>
            </a:rPr>
            <a:t>Top-left = ideal zone (low cost, high reliability)</a:t>
          </a:r>
          <a:endParaRPr lang="en-US" sz="800" b="1" baseline="0">
            <a:solidFill>
              <a:schemeClr val="accent6"/>
            </a:solidFill>
            <a:latin typeface="Aptos ExtraBold" panose="020B00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o" refreshedDate="46217.75222800926" createdVersion="8" refreshedVersion="8" minRefreshableVersion="3" recordCount="1000" xr:uid="{886D0ADE-61EC-42D8-980F-030B06F20FE0}">
  <cacheSource type="worksheet">
    <worksheetSource name="Table1"/>
  </cacheSource>
  <cacheFields count="22">
    <cacheField name="Vendor Name" numFmtId="0">
      <sharedItems count="10">
        <s v="Falcon"/>
        <s v="Nexa"/>
        <s v="Apex"/>
        <s v="Vertex"/>
        <s v="Nova"/>
        <s v="Orion"/>
        <s v="Zenith"/>
        <s v="Sigma"/>
        <s v="Prime"/>
        <s v="Vector"/>
      </sharedItems>
    </cacheField>
    <cacheField name="Country" numFmtId="0">
      <sharedItems count="8">
        <s v="USA"/>
        <s v="China"/>
        <s v="India"/>
        <s v="Canada"/>
        <s v="Denmark"/>
        <s v="UK"/>
        <s v="Germany"/>
        <s v="Brazil"/>
      </sharedItems>
    </cacheField>
    <cacheField name="Region" numFmtId="0">
      <sharedItems count="4">
        <s v="West"/>
        <s v="South"/>
        <s v="North"/>
        <s v="East"/>
      </sharedItems>
    </cacheField>
    <cacheField name="On_Time_Delivery_Rate" numFmtId="0">
      <sharedItems containsSemiMixedTypes="0" containsString="0" containsNumber="1" minValue="0.61" maxValue="0.99"/>
    </cacheField>
    <cacheField name="Shipping_Mode" numFmtId="0">
      <sharedItems count="4">
        <s v="Standard"/>
        <s v="Same Day"/>
        <s v="Economy"/>
        <s v="Express"/>
      </sharedItems>
    </cacheField>
    <cacheField name="Delivery_Status" numFmtId="0">
      <sharedItems/>
    </cacheField>
    <cacheField name="Late_Delivery_Risk_Flag" numFmtId="0">
      <sharedItems containsSemiMixedTypes="0" containsString="0" containsNumber="1" containsInteger="1" minValue="0" maxValue="1"/>
    </cacheField>
    <cacheField name="Profit_Per_Order" numFmtId="0">
      <sharedItems containsSemiMixedTypes="0" containsString="0" containsNumber="1" minValue="-280.11" maxValue="1703.1042"/>
    </cacheField>
    <cacheField name="Category" numFmtId="0">
      <sharedItems count="7">
        <s v="Food"/>
        <s v="Beauty"/>
        <s v="Sport"/>
        <s v="Home"/>
        <s v="Apparel"/>
        <s v="Industrial"/>
        <s v="Electronics"/>
      </sharedItems>
    </cacheField>
    <cacheField name="Order_Date" numFmtId="14">
      <sharedItems containsSemiMixedTypes="0" containsNonDate="0" containsDate="1" containsString="0" minDate="2021-01-03T00:00:00" maxDate="2024-04-15T00:00:00"/>
    </cacheField>
    <cacheField name="Unit_Cost" numFmtId="0">
      <sharedItems containsSemiMixedTypes="0" containsString="0" containsNumber="1" minValue="3.1006453743756701" maxValue="79.956484674323505"/>
    </cacheField>
    <cacheField name="Delivery_Date_Planned" numFmtId="14">
      <sharedItems containsSemiMixedTypes="0" containsNonDate="0" containsDate="1" containsString="0" minDate="2021-01-13T00:00:00" maxDate="2024-04-28T00:00:00"/>
    </cacheField>
    <cacheField name="Delivery_Date_Actual" numFmtId="14">
      <sharedItems containsSemiMixedTypes="0" containsNonDate="0" containsDate="1" containsString="0" minDate="2021-01-16T00:00:00" maxDate="2024-05-02T00:00:00"/>
    </cacheField>
    <cacheField name="Total_Cost" numFmtId="0">
      <sharedItems containsSemiMixedTypes="0" containsString="0" containsNumber="1" minValue="16.110926778218101" maxValue="1608.99314005684"/>
    </cacheField>
    <cacheField name="Delivery Delay" numFmtId="0">
      <sharedItems containsSemiMixedTypes="0" containsString="0" containsNumber="1" containsInteger="1" minValue="-3" maxValue="6"/>
    </cacheField>
    <cacheField name="Delay Flag" numFmtId="0">
      <sharedItems/>
    </cacheField>
    <cacheField name="Cost Efficiency" numFmtId="0">
      <sharedItems containsSemiMixedTypes="0" containsString="0" containsNumber="1" minValue="3.1006453743756626" maxValue="79.956484674323505"/>
    </cacheField>
    <cacheField name="Profit Score" numFmtId="0">
      <sharedItems containsSemiMixedTypes="0" containsString="0" containsNumber="1" minValue="0" maxValue="0.95418433420719684"/>
    </cacheField>
    <cacheField name="Cost Score" numFmtId="0">
      <sharedItems containsSemiMixedTypes="0" containsString="0" containsNumber="1" minValue="6.2150668955908265E-4" maxValue="6.2069675678248094E-2"/>
    </cacheField>
    <cacheField name="Delivery Score" numFmtId="0">
      <sharedItems containsSemiMixedTypes="0" containsString="0" containsNumber="1" minValue="0.61" maxValue="0.99"/>
    </cacheField>
    <cacheField name="Risk Score" numFmtId="0">
      <sharedItems containsSemiMixedTypes="0" containsString="0" containsNumber="1" containsInteger="1" minValue="0" maxValue="1"/>
    </cacheField>
    <cacheField name="Vendor Score" numFmtId="0">
      <sharedItems containsSemiMixedTypes="0" containsString="0" containsNumber="1" minValue="18.344888293437528" maxValue="66.936425962265972"/>
    </cacheField>
  </cacheFields>
  <extLst>
    <ext xmlns:x14="http://schemas.microsoft.com/office/spreadsheetml/2009/9/main" uri="{725AE2AE-9491-48be-B2B4-4EB974FC3084}">
      <x14:pivotCacheDefinition pivotCacheId="1442691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0.75"/>
    <x v="0"/>
    <s v="On Time"/>
    <n v="0"/>
    <n v="-99.1584"/>
    <x v="0"/>
    <d v="2021-03-21T00:00:00"/>
    <n v="42.3450228118054"/>
    <d v="2024-04-02T00:00:00"/>
    <d v="2024-04-03T00:00:00"/>
    <n v="423.45022811805399"/>
    <n v="1"/>
    <s v="Late"/>
    <n v="42.3450228118054"/>
    <n v="0"/>
    <n v="2.3615526302685312E-3"/>
    <n v="0.75"/>
    <n v="1"/>
    <n v="42.570846578908053"/>
  </r>
  <r>
    <x v="1"/>
    <x v="1"/>
    <x v="1"/>
    <n v="0.8"/>
    <x v="1"/>
    <s v="On Time"/>
    <n v="0"/>
    <n v="171.95159999999899"/>
    <x v="1"/>
    <d v="2021-06-24T00:00:00"/>
    <n v="74.805687380734199"/>
    <d v="2021-07-04T00:00:00"/>
    <d v="2021-07-07T00:00:00"/>
    <n v="374.02843690367098"/>
    <n v="3"/>
    <s v="Late"/>
    <n v="74.805687380734199"/>
    <n v="0.31634243478567836"/>
    <n v="2.6735935060936146E-3"/>
    <n v="0.8"/>
    <n v="1"/>
    <n v="50.407056500896374"/>
  </r>
  <r>
    <x v="2"/>
    <x v="2"/>
    <x v="2"/>
    <n v="0.62"/>
    <x v="2"/>
    <s v="Late"/>
    <n v="1"/>
    <n v="12.4233999999999"/>
    <x v="2"/>
    <d v="2023-08-16T00:00:00"/>
    <n v="76.080119074640507"/>
    <d v="2023-09-02T00:00:00"/>
    <d v="2023-09-06T00:00:00"/>
    <n v="836.88130982104599"/>
    <n v="4"/>
    <s v="Late"/>
    <n v="76.08011907464055"/>
    <n v="0.43012249250434309"/>
    <n v="1.1949125739393492E-3"/>
    <n v="0.62"/>
    <n v="0"/>
    <n v="27.23829722730504"/>
  </r>
  <r>
    <x v="3"/>
    <x v="0"/>
    <x v="2"/>
    <n v="0.66"/>
    <x v="3"/>
    <s v="Late"/>
    <n v="1"/>
    <n v="96.567800000000005"/>
    <x v="0"/>
    <d v="2023-05-01T00:00:00"/>
    <n v="64.157843851116596"/>
    <d v="2023-05-17T00:00:00"/>
    <d v="2023-05-14T00:00:00"/>
    <n v="449.10490695781601"/>
    <n v="-3"/>
    <s v="On Time"/>
    <n v="64.157843851116567"/>
    <n v="7.6473125146206605E-2"/>
    <n v="2.2266512445252109E-3"/>
    <n v="0.66"/>
    <n v="0"/>
    <n v="21.396262040259888"/>
  </r>
  <r>
    <x v="4"/>
    <x v="3"/>
    <x v="2"/>
    <n v="0.89"/>
    <x v="1"/>
    <s v="On Time"/>
    <n v="0"/>
    <n v="574.44000000000005"/>
    <x v="3"/>
    <d v="2022-10-31T00:00:00"/>
    <n v="53.179120934017803"/>
    <d v="2022-11-24T00:00:00"/>
    <d v="2022-11-24T00:00:00"/>
    <n v="531.79120934017806"/>
    <n v="0"/>
    <s v="On Time"/>
    <n v="53.179120934017803"/>
    <n v="0.61561213991769548"/>
    <n v="1.8804372513805817E-3"/>
    <n v="0.89"/>
    <n v="1"/>
    <n v="59.068655915895327"/>
  </r>
  <r>
    <x v="5"/>
    <x v="0"/>
    <x v="3"/>
    <n v="0.63"/>
    <x v="3"/>
    <s v="On Time"/>
    <n v="0"/>
    <n v="420.88559999999899"/>
    <x v="2"/>
    <d v="2022-07-12T00:00:00"/>
    <n v="73.194289391294205"/>
    <d v="2022-07-29T00:00:00"/>
    <d v="2022-08-01T00:00:00"/>
    <n v="585.55431513035398"/>
    <n v="3"/>
    <s v="Late"/>
    <n v="73.194289391294248"/>
    <n v="0.33631415837558698"/>
    <n v="1.7077835038708299E-3"/>
    <n v="0.63"/>
    <n v="1"/>
    <n v="45.677516672627867"/>
  </r>
  <r>
    <x v="6"/>
    <x v="1"/>
    <x v="3"/>
    <n v="0.84"/>
    <x v="3"/>
    <s v="Late"/>
    <n v="1"/>
    <n v="423.08399999999898"/>
    <x v="2"/>
    <d v="2021-11-09T00:00:00"/>
    <n v="72.039598730382394"/>
    <d v="2021-11-29T00:00:00"/>
    <d v="2021-11-30T00:00:00"/>
    <n v="648.35638857344202"/>
    <n v="1"/>
    <s v="Late"/>
    <n v="72.039598730382451"/>
    <n v="0.63035471644139163"/>
    <n v="1.5423616048578905E-3"/>
    <n v="0.84"/>
    <n v="0"/>
    <n v="37.853365176973568"/>
  </r>
  <r>
    <x v="7"/>
    <x v="0"/>
    <x v="2"/>
    <n v="0.7"/>
    <x v="2"/>
    <s v="Late"/>
    <n v="1"/>
    <n v="460.74119999999903"/>
    <x v="0"/>
    <d v="2023-12-08T00:00:00"/>
    <n v="55.477081984225997"/>
    <d v="2023-12-18T00:00:00"/>
    <d v="2023-12-24T00:00:00"/>
    <n v="610.24790182648599"/>
    <n v="6"/>
    <s v="Late"/>
    <n v="55.477081984225997"/>
    <n v="0.19538983975479474"/>
    <n v="1.6386783092690316E-3"/>
    <n v="0.7"/>
    <n v="0"/>
    <n v="24.956957144373966"/>
  </r>
  <r>
    <x v="8"/>
    <x v="1"/>
    <x v="2"/>
    <n v="0.75"/>
    <x v="2"/>
    <s v="On Time"/>
    <n v="0"/>
    <n v="42.983399999999897"/>
    <x v="4"/>
    <d v="2022-04-23T00:00:00"/>
    <n v="38.263269866724002"/>
    <d v="2022-05-10T00:00:00"/>
    <d v="2022-05-08T00:00:00"/>
    <n v="382.63269866723999"/>
    <n v="-2"/>
    <s v="On Time"/>
    <n v="38.263269866724002"/>
    <n v="0.46537264760716845"/>
    <n v="2.6134724070450109E-3"/>
    <n v="0.75"/>
    <n v="1"/>
    <n v="51.885857124354715"/>
  </r>
  <r>
    <x v="9"/>
    <x v="4"/>
    <x v="2"/>
    <n v="0.71"/>
    <x v="0"/>
    <s v="Late"/>
    <n v="1"/>
    <n v="603"/>
    <x v="3"/>
    <d v="2021-02-26T00:00:00"/>
    <n v="72.629360538852495"/>
    <d v="2021-03-09T00:00:00"/>
    <d v="2021-03-13T00:00:00"/>
    <n v="581.03488431081996"/>
    <n v="4"/>
    <s v="Late"/>
    <n v="72.629360538852495"/>
    <n v="0.27967941225580228"/>
    <n v="1.7210670598308828E-3"/>
    <n v="0.71"/>
    <n v="0"/>
    <n v="26.945220256910972"/>
  </r>
  <r>
    <x v="0"/>
    <x v="5"/>
    <x v="3"/>
    <n v="0.74"/>
    <x v="1"/>
    <s v="On Time"/>
    <n v="0"/>
    <n v="583.39959999999996"/>
    <x v="0"/>
    <d v="2021-07-16T00:00:00"/>
    <n v="74.910725029472601"/>
    <d v="2021-07-31T00:00:00"/>
    <d v="2021-08-06T00:00:00"/>
    <n v="1198.57160047156"/>
    <n v="6"/>
    <s v="Late"/>
    <n v="74.910725029472502"/>
    <n v="0.58411245083499908"/>
    <n v="8.3432645960121617E-4"/>
    <n v="0.74"/>
    <n v="1"/>
    <n v="53.907278810488023"/>
  </r>
  <r>
    <x v="1"/>
    <x v="1"/>
    <x v="3"/>
    <n v="0.88"/>
    <x v="1"/>
    <s v="Late"/>
    <n v="1"/>
    <n v="825.91949999999895"/>
    <x v="3"/>
    <d v="2023-02-19T00:00:00"/>
    <n v="47.362314027756199"/>
    <d v="2023-03-14T00:00:00"/>
    <d v="2023-03-15T00:00:00"/>
    <n v="615.71008236083105"/>
    <n v="1"/>
    <s v="Late"/>
    <n v="47.362314027756234"/>
    <n v="0.43157813880247514"/>
    <n v="1.6241410180675903E-3"/>
    <n v="0.88"/>
    <n v="0"/>
    <n v="35.08028700659154"/>
  </r>
  <r>
    <x v="2"/>
    <x v="1"/>
    <x v="2"/>
    <n v="0.72"/>
    <x v="1"/>
    <s v="Late"/>
    <n v="1"/>
    <n v="194.12249999999901"/>
    <x v="3"/>
    <d v="2021-12-19T00:00:00"/>
    <n v="65.642856365693703"/>
    <d v="2021-12-30T00:00:00"/>
    <d v="2022-01-01T00:00:00"/>
    <n v="722.07142002263095"/>
    <n v="2"/>
    <s v="Late"/>
    <n v="65.642856365693717"/>
    <n v="0.54464154199019299"/>
    <n v="1.384904556904715E-3"/>
    <n v="0.72"/>
    <n v="0"/>
    <n v="32.534377976510996"/>
  </r>
  <r>
    <x v="3"/>
    <x v="6"/>
    <x v="0"/>
    <n v="0.82"/>
    <x v="2"/>
    <s v="Late"/>
    <n v="1"/>
    <n v="2.32680000000002"/>
    <x v="2"/>
    <d v="2022-01-09T00:00:00"/>
    <n v="78.904389918313697"/>
    <d v="2022-01-29T00:00:00"/>
    <d v="2022-02-02T00:00:00"/>
    <n v="710.139509264823"/>
    <n v="4"/>
    <s v="Late"/>
    <n v="78.904389918313669"/>
    <n v="1.1210425290812056E-2"/>
    <n v="1.4081740094073305E-3"/>
    <n v="0.82"/>
    <n v="0"/>
    <n v="24.866453726098459"/>
  </r>
  <r>
    <x v="4"/>
    <x v="1"/>
    <x v="1"/>
    <n v="0.79"/>
    <x v="2"/>
    <s v="On Time"/>
    <n v="0"/>
    <n v="612.9248"/>
    <x v="1"/>
    <d v="2022-10-25T00:00:00"/>
    <n v="49.990514468280999"/>
    <d v="2022-11-18T00:00:00"/>
    <d v="2022-11-23T00:00:00"/>
    <n v="449.91463021452898"/>
    <n v="5"/>
    <s v="Late"/>
    <n v="49.990514468280999"/>
    <n v="0.844941748386556"/>
    <n v="2.2226438814029639E-3"/>
    <n v="0.79"/>
    <n v="1"/>
    <n v="60.665514284173213"/>
  </r>
  <r>
    <x v="5"/>
    <x v="1"/>
    <x v="3"/>
    <n v="0.86"/>
    <x v="3"/>
    <s v="Late"/>
    <n v="1"/>
    <n v="33.438999999999901"/>
    <x v="3"/>
    <d v="2023-05-16T00:00:00"/>
    <n v="53.415423056426597"/>
    <d v="2023-05-27T00:00:00"/>
    <d v="2023-05-25T00:00:00"/>
    <n v="854.64676890282499"/>
    <n v="-2"/>
    <s v="On Time"/>
    <n v="53.415423056426562"/>
    <n v="0.44831007253080141"/>
    <n v="1.1700740427343756E-3"/>
    <n v="0.86"/>
    <n v="0"/>
    <n v="34.801303671898062"/>
  </r>
  <r>
    <x v="6"/>
    <x v="2"/>
    <x v="3"/>
    <n v="0.97"/>
    <x v="1"/>
    <s v="Late"/>
    <n v="1"/>
    <n v="60.8320000000001"/>
    <x v="5"/>
    <d v="2021-10-02T00:00:00"/>
    <n v="69.114569575480303"/>
    <d v="2021-10-13T00:00:00"/>
    <d v="2021-10-14T00:00:00"/>
    <n v="760.260265330283"/>
    <n v="1"/>
    <s v="Late"/>
    <n v="69.114569575480274"/>
    <n v="8.3063881849165563E-2"/>
    <n v="1.3153390300696115E-3"/>
    <n v="0.97"/>
    <n v="0"/>
    <n v="30.800737807885398"/>
  </r>
  <r>
    <x v="7"/>
    <x v="5"/>
    <x v="0"/>
    <n v="0.89"/>
    <x v="3"/>
    <s v="Late"/>
    <n v="1"/>
    <n v="12.2178000000001"/>
    <x v="2"/>
    <d v="2022-05-18T00:00:00"/>
    <n v="61.201835120752797"/>
    <d v="2022-06-09T00:00:00"/>
    <d v="2022-06-08T00:00:00"/>
    <n v="673.22018632828099"/>
    <n v="-1"/>
    <s v="On Time"/>
    <n v="61.201835120752818"/>
    <n v="1.0507786020201715E-2"/>
    <n v="1.4853981213100048E-3"/>
    <n v="0.89"/>
    <n v="0"/>
    <n v="26.954717664043333"/>
  </r>
  <r>
    <x v="8"/>
    <x v="4"/>
    <x v="0"/>
    <n v="0.68"/>
    <x v="1"/>
    <s v="On Time"/>
    <n v="0"/>
    <n v="55.545599999999901"/>
    <x v="4"/>
    <d v="2023-06-18T00:00:00"/>
    <n v="68.567830203443705"/>
    <d v="2023-06-30T00:00:00"/>
    <d v="2023-07-02T00:00:00"/>
    <n v="617.11047183099299"/>
    <n v="2"/>
    <s v="Late"/>
    <n v="68.567830203443663"/>
    <n v="5.4600702089913244E-2"/>
    <n v="1.6204554057119749E-3"/>
    <n v="0.68"/>
    <n v="1"/>
    <n v="41.540627703969626"/>
  </r>
  <r>
    <x v="9"/>
    <x v="3"/>
    <x v="2"/>
    <n v="0.61"/>
    <x v="1"/>
    <s v="Late"/>
    <n v="1"/>
    <n v="117.423"/>
    <x v="1"/>
    <d v="2022-02-18T00:00:00"/>
    <n v="63.632294555442499"/>
    <d v="2022-03-03T00:00:00"/>
    <d v="2022-03-02T00:00:00"/>
    <n v="827.21982922075301"/>
    <n v="-1"/>
    <s v="On Time"/>
    <n v="63.632294555442542"/>
    <n v="0.20042398267201253"/>
    <n v="1.2088685071077263E-3"/>
    <n v="0.61"/>
    <n v="0"/>
    <n v="22.344745708653484"/>
  </r>
  <r>
    <x v="2"/>
    <x v="6"/>
    <x v="2"/>
    <n v="0.7"/>
    <x v="0"/>
    <s v="Late"/>
    <n v="1"/>
    <n v="-41.4968"/>
    <x v="5"/>
    <d v="2024-02-19T00:00:00"/>
    <n v="63.442912422671199"/>
    <d v="2024-03-14T00:00:00"/>
    <d v="2024-03-16T00:00:00"/>
    <n v="570.98621180404098"/>
    <n v="2"/>
    <s v="Late"/>
    <n v="63.44291242267122"/>
    <n v="0"/>
    <n v="1.751355775896028E-3"/>
    <n v="0.7"/>
    <n v="0"/>
    <n v="21.05254067327688"/>
  </r>
  <r>
    <x v="3"/>
    <x v="2"/>
    <x v="1"/>
    <n v="0.83"/>
    <x v="0"/>
    <s v="On Time"/>
    <n v="0"/>
    <n v="322.087999999999"/>
    <x v="5"/>
    <d v="2023-09-10T00:00:00"/>
    <n v="69.584274851607404"/>
    <d v="2023-10-02T00:00:00"/>
    <d v="2023-10-02T00:00:00"/>
    <n v="835.01129821928896"/>
    <n v="0"/>
    <s v="On Time"/>
    <n v="69.584274851607418"/>
    <n v="0.42648912617450957"/>
    <n v="1.1975885860856725E-3"/>
    <n v="0.83"/>
    <n v="1"/>
    <n v="53.465710181072758"/>
  </r>
  <r>
    <x v="4"/>
    <x v="7"/>
    <x v="1"/>
    <n v="0.62"/>
    <x v="3"/>
    <s v="Late"/>
    <n v="1"/>
    <n v="49.258800000000001"/>
    <x v="4"/>
    <d v="2023-12-04T00:00:00"/>
    <n v="76.462493466167402"/>
    <d v="2023-12-23T00:00:00"/>
    <d v="2023-12-21T00:00:00"/>
    <n v="1146.9374019925101"/>
    <n v="-2"/>
    <s v="On Time"/>
    <n v="76.462493466167345"/>
    <n v="0.1827114957484974"/>
    <n v="8.718871651258003E-4"/>
    <n v="0.62"/>
    <n v="0"/>
    <n v="22.280386529923721"/>
  </r>
  <r>
    <x v="5"/>
    <x v="5"/>
    <x v="2"/>
    <n v="0.79"/>
    <x v="0"/>
    <s v="Late"/>
    <n v="1"/>
    <n v="302.97899999999902"/>
    <x v="1"/>
    <d v="2022-04-01T00:00:00"/>
    <n v="49.064760522916899"/>
    <d v="2022-04-23T00:00:00"/>
    <d v="2022-04-27T00:00:00"/>
    <n v="392.51808418333502"/>
    <n v="4"/>
    <s v="Late"/>
    <n v="49.064760522916878"/>
    <n v="0.24980150534389584"/>
    <n v="2.5476533191600057E-3"/>
    <n v="0.79"/>
    <n v="0"/>
    <n v="28.772459706452718"/>
  </r>
  <r>
    <x v="6"/>
    <x v="4"/>
    <x v="2"/>
    <n v="0.83"/>
    <x v="1"/>
    <s v="Late"/>
    <n v="1"/>
    <n v="75.622"/>
    <x v="2"/>
    <d v="2024-03-17T00:00:00"/>
    <n v="15.439558053438899"/>
    <d v="2024-03-30T00:00:00"/>
    <d v="2024-04-01T00:00:00"/>
    <n v="200.714254694706"/>
    <n v="2"/>
    <s v="Late"/>
    <n v="15.439558053438923"/>
    <n v="0.37083786938143015"/>
    <n v="4.9822071756738849E-3"/>
    <n v="0.83"/>
    <n v="0"/>
    <n v="32.466223602898822"/>
  </r>
  <r>
    <x v="7"/>
    <x v="4"/>
    <x v="3"/>
    <n v="0.73"/>
    <x v="2"/>
    <s v="Late"/>
    <n v="1"/>
    <n v="157.34"/>
    <x v="6"/>
    <d v="2023-12-17T00:00:00"/>
    <n v="68.513472466800295"/>
    <d v="2024-01-10T00:00:00"/>
    <d v="2024-01-16T00:00:00"/>
    <n v="753.64819713480301"/>
    <n v="6"/>
    <s v="Late"/>
    <n v="68.51347246680028"/>
    <n v="0.2212752791606897"/>
    <n v="1.3268790448935854E-3"/>
    <n v="0.73"/>
    <n v="0"/>
    <n v="26.3653119545606"/>
  </r>
  <r>
    <x v="8"/>
    <x v="7"/>
    <x v="2"/>
    <n v="0.9"/>
    <x v="0"/>
    <s v="Late"/>
    <n v="1"/>
    <n v="419.00490000000002"/>
    <x v="1"/>
    <d v="2023-10-21T00:00:00"/>
    <n v="70.944673279855905"/>
    <d v="2023-11-02T00:00:00"/>
    <d v="2023-11-07T00:00:00"/>
    <n v="851.33607935827001"/>
    <n v="5"/>
    <s v="Late"/>
    <n v="70.944673279855834"/>
    <n v="0.82904795739020343"/>
    <n v="1.1746242456372711E-3"/>
    <n v="0.9"/>
    <n v="0"/>
    <n v="43.616197875173192"/>
  </r>
  <r>
    <x v="9"/>
    <x v="3"/>
    <x v="3"/>
    <n v="0.64"/>
    <x v="2"/>
    <s v="Late"/>
    <n v="1"/>
    <n v="231.68189999999899"/>
    <x v="4"/>
    <d v="2024-04-01T00:00:00"/>
    <n v="32.2580868801356"/>
    <d v="2024-04-12T00:00:00"/>
    <d v="2024-04-15T00:00:00"/>
    <n v="290.32278192122101"/>
    <n v="3"/>
    <s v="Late"/>
    <n v="32.258086880135664"/>
    <n v="0.32221365978338234"/>
    <n v="3.4444420564671693E-3"/>
    <n v="0.64"/>
    <n v="0"/>
    <n v="25.747606457361666"/>
  </r>
  <r>
    <x v="0"/>
    <x v="1"/>
    <x v="0"/>
    <n v="0.63"/>
    <x v="0"/>
    <s v="Late"/>
    <n v="1"/>
    <n v="52.1584"/>
    <x v="5"/>
    <d v="2022-10-03T00:00:00"/>
    <n v="8.32315558115023"/>
    <d v="2022-10-23T00:00:00"/>
    <d v="2022-10-26T00:00:00"/>
    <n v="58.262089068051601"/>
    <n v="3"/>
    <s v="Late"/>
    <n v="8.3231555811502282"/>
    <n v="7.8851251983435899E-2"/>
    <n v="1.7163819835433202E-2"/>
    <n v="0.63"/>
    <n v="0"/>
    <n v="20.991939634731711"/>
  </r>
  <r>
    <x v="1"/>
    <x v="2"/>
    <x v="2"/>
    <n v="0.88"/>
    <x v="2"/>
    <s v="Late"/>
    <n v="1"/>
    <n v="869.48800000000006"/>
    <x v="2"/>
    <d v="2023-08-31T00:00:00"/>
    <n v="27.203427496926199"/>
    <d v="2023-09-16T00:00:00"/>
    <d v="2023-09-20T00:00:00"/>
    <n v="353.64455746004001"/>
    <n v="4"/>
    <s v="Late"/>
    <n v="27.203427496926153"/>
    <n v="0.82779368754569838"/>
    <n v="2.8276979778290375E-3"/>
    <n v="0.88"/>
    <n v="0"/>
    <n v="43.040704690248845"/>
  </r>
  <r>
    <x v="2"/>
    <x v="0"/>
    <x v="0"/>
    <n v="0.79"/>
    <x v="2"/>
    <s v="Late"/>
    <n v="1"/>
    <n v="429.039999999999"/>
    <x v="1"/>
    <d v="2024-02-09T00:00:00"/>
    <n v="17.686680271788699"/>
    <d v="2024-02-29T00:00:00"/>
    <d v="2024-03-01T00:00:00"/>
    <n v="212.240163261465"/>
    <n v="1"/>
    <s v="Late"/>
    <n v="17.686680271788749"/>
    <n v="0.64212164750957712"/>
    <n v="4.7116435675186984E-3"/>
    <n v="0.79"/>
    <n v="0"/>
    <n v="36.683782257217104"/>
  </r>
  <r>
    <x v="3"/>
    <x v="6"/>
    <x v="1"/>
    <n v="0.87"/>
    <x v="0"/>
    <s v="Late"/>
    <n v="1"/>
    <n v="125.6215"/>
    <x v="6"/>
    <d v="2021-08-21T00:00:00"/>
    <n v="17.681582408842502"/>
    <d v="2021-09-11T00:00:00"/>
    <d v="2021-09-11T00:00:00"/>
    <n v="194.497406497268"/>
    <n v="0"/>
    <s v="On Time"/>
    <n v="17.681582408842544"/>
    <n v="0.37778459437961154"/>
    <n v="5.1414567320415471E-3"/>
    <n v="0.87"/>
    <n v="0"/>
    <n v="33.809935589553483"/>
  </r>
  <r>
    <x v="4"/>
    <x v="0"/>
    <x v="1"/>
    <n v="0.77"/>
    <x v="2"/>
    <s v="On Time"/>
    <n v="0"/>
    <n v="666.7722"/>
    <x v="6"/>
    <d v="2021-06-16T00:00:00"/>
    <n v="32.601286572435001"/>
    <d v="2021-07-07T00:00:00"/>
    <d v="2021-07-10T00:00:00"/>
    <n v="619.42444487626597"/>
    <n v="3"/>
    <s v="Late"/>
    <n v="32.60128657243505"/>
    <n v="0.49726752482451347"/>
    <n v="1.6144018988462046E-3"/>
    <n v="0.77"/>
    <n v="1"/>
    <n v="53.093782553455647"/>
  </r>
  <r>
    <x v="5"/>
    <x v="7"/>
    <x v="2"/>
    <n v="0.7"/>
    <x v="3"/>
    <s v="Late"/>
    <n v="1"/>
    <n v="153.33599999999899"/>
    <x v="3"/>
    <d v="2023-07-14T00:00:00"/>
    <n v="32.856348955913298"/>
    <d v="2023-07-26T00:00:00"/>
    <d v="2023-07-24T00:00:00"/>
    <n v="262.85079164730598"/>
    <n v="-2"/>
    <s v="On Time"/>
    <n v="32.856348955913248"/>
    <n v="0.34277589999463343"/>
    <n v="3.8044397497642053E-3"/>
    <n v="0.7"/>
    <n v="0"/>
    <n v="27.969651192385591"/>
  </r>
  <r>
    <x v="6"/>
    <x v="4"/>
    <x v="2"/>
    <n v="0.92"/>
    <x v="0"/>
    <s v="On Time"/>
    <n v="0"/>
    <n v="508.22039999999998"/>
    <x v="3"/>
    <d v="2022-01-21T00:00:00"/>
    <n v="18.562488202935"/>
    <d v="2022-02-13T00:00:00"/>
    <d v="2022-02-19T00:00:00"/>
    <n v="204.18737023228499"/>
    <n v="6"/>
    <s v="Late"/>
    <n v="18.562488202935"/>
    <n v="0.32754171058849185"/>
    <n v="4.8974625554087546E-3"/>
    <n v="0.92"/>
    <n v="1"/>
    <n v="54.297758088432111"/>
  </r>
  <r>
    <x v="7"/>
    <x v="3"/>
    <x v="0"/>
    <n v="0.91"/>
    <x v="3"/>
    <s v="Late"/>
    <n v="1"/>
    <n v="215.80199999999999"/>
    <x v="0"/>
    <d v="2022-09-19T00:00:00"/>
    <n v="25.232411333629599"/>
    <d v="2022-10-05T00:00:00"/>
    <d v="2022-10-03T00:00:00"/>
    <n v="378.48617000444398"/>
    <n v="-2"/>
    <s v="On Time"/>
    <n v="25.232411333629599"/>
    <n v="0.40217148224349225"/>
    <n v="2.6421044657675566E-3"/>
    <n v="0.91"/>
    <n v="0"/>
    <n v="35.42269277884288"/>
  </r>
  <r>
    <x v="8"/>
    <x v="4"/>
    <x v="3"/>
    <n v="0.87"/>
    <x v="3"/>
    <s v="On Time"/>
    <n v="0"/>
    <n v="681.68789999999899"/>
    <x v="4"/>
    <d v="2021-11-09T00:00:00"/>
    <n v="70.138520918066604"/>
    <d v="2021-11-28T00:00:00"/>
    <d v="2021-11-27T00:00:00"/>
    <n v="1332.63189744326"/>
    <n v="-1"/>
    <s v="On Time"/>
    <n v="70.13852091806632"/>
    <n v="0.4137314548123121"/>
    <n v="7.5039476536511269E-4"/>
    <n v="0.87"/>
    <n v="1"/>
    <n v="54.397140939207198"/>
  </r>
  <r>
    <x v="9"/>
    <x v="6"/>
    <x v="1"/>
    <n v="0.71"/>
    <x v="1"/>
    <s v="Late"/>
    <n v="1"/>
    <n v="13.93"/>
    <x v="1"/>
    <d v="2024-03-03T00:00:00"/>
    <n v="78.099985631443403"/>
    <d v="2024-03-23T00:00:00"/>
    <d v="2024-03-23T00:00:00"/>
    <n v="1249.5997701030899"/>
    <n v="0"/>
    <s v="On Time"/>
    <n v="78.099985631443118"/>
    <n v="1.3110218064431122E-2"/>
    <n v="8.0025622917448338E-4"/>
    <n v="0.71"/>
    <n v="0"/>
    <n v="21.586212048163858"/>
  </r>
  <r>
    <x v="3"/>
    <x v="4"/>
    <x v="1"/>
    <n v="0.83"/>
    <x v="0"/>
    <s v="Late"/>
    <n v="1"/>
    <n v="440.6952"/>
    <x v="1"/>
    <d v="2022-05-31T00:00:00"/>
    <n v="46.250429069184797"/>
    <d v="2022-06-15T00:00:00"/>
    <d v="2022-06-17T00:00:00"/>
    <n v="508.75471976103199"/>
    <n v="2"/>
    <s v="Late"/>
    <n v="46.250429069184726"/>
    <n v="0.4203361352232356"/>
    <n v="1.9655837305444786E-3"/>
    <n v="0.83"/>
    <n v="0"/>
    <n v="33.365690216381047"/>
  </r>
  <r>
    <x v="4"/>
    <x v="4"/>
    <x v="3"/>
    <n v="0.74"/>
    <x v="1"/>
    <s v="Late"/>
    <n v="1"/>
    <n v="265.27440000000001"/>
    <x v="0"/>
    <d v="2023-11-20T00:00:00"/>
    <n v="68.631449531045504"/>
    <d v="2023-12-14T00:00:00"/>
    <d v="2023-12-15T00:00:00"/>
    <n v="686.31449531045496"/>
    <n v="1"/>
    <s v="Late"/>
    <n v="68.63144953104549"/>
    <n v="0.7894263206386013"/>
    <n v="1.4570579622504537E-3"/>
    <n v="0.74"/>
    <n v="0"/>
    <n v="38.03223815163954"/>
  </r>
  <r>
    <x v="5"/>
    <x v="6"/>
    <x v="0"/>
    <n v="0.64"/>
    <x v="0"/>
    <s v="Late"/>
    <n v="1"/>
    <n v="180.725999999999"/>
    <x v="5"/>
    <d v="2022-11-14T00:00:00"/>
    <n v="33.133835670211901"/>
    <d v="2022-12-06T00:00:00"/>
    <d v="2022-12-09T00:00:00"/>
    <n v="397.60602804254302"/>
    <n v="3"/>
    <s v="Late"/>
    <n v="33.133835670211916"/>
    <n v="0.71840391785853297"/>
    <n v="2.5150524123668519E-3"/>
    <n v="0.64"/>
    <n v="0"/>
    <n v="33.643529929541664"/>
  </r>
  <r>
    <x v="6"/>
    <x v="2"/>
    <x v="0"/>
    <n v="0.96"/>
    <x v="3"/>
    <s v="Late"/>
    <n v="1"/>
    <n v="453.97599999999898"/>
    <x v="5"/>
    <d v="2021-06-08T00:00:00"/>
    <n v="22.468785943647301"/>
    <d v="2021-06-21T00:00:00"/>
    <d v="2021-06-25T00:00:00"/>
    <n v="224.68785943647299"/>
    <n v="4"/>
    <s v="Late"/>
    <n v="22.468785943647298"/>
    <n v="0.21627420827068727"/>
    <n v="4.4506187495312113E-3"/>
    <n v="0.96"/>
    <n v="0"/>
    <n v="33.259002727899677"/>
  </r>
  <r>
    <x v="7"/>
    <x v="2"/>
    <x v="2"/>
    <n v="0.65"/>
    <x v="1"/>
    <s v="Late"/>
    <n v="1"/>
    <n v="400.74149999999997"/>
    <x v="0"/>
    <d v="2021-01-26T00:00:00"/>
    <n v="20.479569020345298"/>
    <d v="2021-02-05T00:00:00"/>
    <d v="2021-02-04T00:00:00"/>
    <n v="266.234397264488"/>
    <n v="-1"/>
    <s v="On Time"/>
    <n v="20.479569020345231"/>
    <n v="0.32826367156062275"/>
    <n v="3.7560886582456124E-3"/>
    <n v="0.65"/>
    <n v="0"/>
    <n v="26.177956090959825"/>
  </r>
  <r>
    <x v="8"/>
    <x v="6"/>
    <x v="2"/>
    <n v="0.97"/>
    <x v="1"/>
    <s v="Late"/>
    <n v="1"/>
    <n v="293.93909999999897"/>
    <x v="5"/>
    <d v="2021-08-10T00:00:00"/>
    <n v="63.039713691771802"/>
    <d v="2021-08-28T00:00:00"/>
    <d v="2021-09-02T00:00:00"/>
    <n v="693.43685060948997"/>
    <n v="5"/>
    <s v="Late"/>
    <n v="63.039713691771816"/>
    <n v="0.52600986633896796"/>
    <n v="1.4420923824874018E-3"/>
    <n v="0.97"/>
    <n v="0"/>
    <n v="39.663460098253978"/>
  </r>
  <r>
    <x v="9"/>
    <x v="3"/>
    <x v="2"/>
    <n v="0.77"/>
    <x v="2"/>
    <s v="On Time"/>
    <n v="0"/>
    <n v="141.9837"/>
    <x v="3"/>
    <d v="2021-07-11T00:00:00"/>
    <n v="25.4189593515414"/>
    <d v="2021-07-31T00:00:00"/>
    <d v="2021-07-29T00:00:00"/>
    <n v="203.351674812331"/>
    <n v="-2"/>
    <s v="On Time"/>
    <n v="25.418959351541375"/>
    <n v="0.30182089040156779"/>
    <n v="4.9175892006932276E-3"/>
    <n v="0.77"/>
    <n v="1"/>
    <n v="49.283945484052154"/>
  </r>
  <r>
    <x v="0"/>
    <x v="7"/>
    <x v="1"/>
    <n v="0.67"/>
    <x v="2"/>
    <s v="Late"/>
    <n v="1"/>
    <n v="527.44579999999996"/>
    <x v="1"/>
    <d v="2023-07-30T00:00:00"/>
    <n v="43.056329316659898"/>
    <d v="2023-08-20T00:00:00"/>
    <d v="2023-08-24T00:00:00"/>
    <n v="344.45063453327901"/>
    <n v="4"/>
    <s v="Late"/>
    <n v="43.056329316659877"/>
    <n v="0.29266517361572347"/>
    <n v="2.9031736328631592E-3"/>
    <n v="0.67"/>
    <n v="0"/>
    <n v="26.040398681300363"/>
  </r>
  <r>
    <x v="1"/>
    <x v="5"/>
    <x v="2"/>
    <n v="0.81"/>
    <x v="2"/>
    <s v="Late"/>
    <n v="1"/>
    <n v="477.10250000000002"/>
    <x v="0"/>
    <d v="2022-01-14T00:00:00"/>
    <n v="23.319825192023799"/>
    <d v="2022-02-03T00:00:00"/>
    <d v="2022-02-02T00:00:00"/>
    <n v="349.79737788035698"/>
    <n v="-1"/>
    <s v="On Time"/>
    <n v="23.319825192023799"/>
    <n v="0.69756671698692529"/>
    <n v="2.8587978733849609E-3"/>
    <n v="0.81"/>
    <n v="0"/>
    <n v="38.33709827594005"/>
  </r>
  <r>
    <x v="2"/>
    <x v="4"/>
    <x v="0"/>
    <n v="0.94"/>
    <x v="0"/>
    <s v="Late"/>
    <n v="1"/>
    <n v="80.094999999999999"/>
    <x v="1"/>
    <d v="2023-05-13T00:00:00"/>
    <n v="44.617250749553499"/>
    <d v="2023-05-30T00:00:00"/>
    <d v="2023-06-05T00:00:00"/>
    <n v="580.024259744196"/>
    <n v="6"/>
    <s v="Late"/>
    <n v="44.617250749553541"/>
    <n v="0.69337315500151497"/>
    <n v="1.7240658182832264E-3"/>
    <n v="0.94"/>
    <n v="0"/>
    <n v="42.119185074578795"/>
  </r>
  <r>
    <x v="3"/>
    <x v="3"/>
    <x v="3"/>
    <n v="0.89"/>
    <x v="1"/>
    <s v="Late"/>
    <n v="1"/>
    <n v="61.396499999999897"/>
    <x v="6"/>
    <d v="2022-01-01T00:00:00"/>
    <n v="7.0942582747983298"/>
    <d v="2022-01-17T00:00:00"/>
    <d v="2022-01-22T00:00:00"/>
    <n v="120.602390671571"/>
    <n v="5"/>
    <s v="Late"/>
    <n v="7.0942582747982943"/>
    <n v="9.7225356361537257E-2"/>
    <n v="8.291709595734614E-3"/>
    <n v="0.89"/>
    <n v="0"/>
    <n v="28.893258415102785"/>
  </r>
  <r>
    <x v="4"/>
    <x v="4"/>
    <x v="0"/>
    <n v="0.91"/>
    <x v="1"/>
    <s v="On Time"/>
    <n v="0"/>
    <n v="237.695999999999"/>
    <x v="3"/>
    <d v="2023-08-19T00:00:00"/>
    <n v="53.156621331245397"/>
    <d v="2023-09-06T00:00:00"/>
    <d v="2023-09-10T00:00:00"/>
    <n v="318.939727987472"/>
    <n v="4"/>
    <s v="Late"/>
    <n v="53.156621331245333"/>
    <n v="0.38344496496186298"/>
    <n v="3.1353886400733375E-3"/>
    <n v="0.91"/>
    <n v="1"/>
    <n v="55.062960958439454"/>
  </r>
  <r>
    <x v="5"/>
    <x v="5"/>
    <x v="1"/>
    <n v="0.86"/>
    <x v="2"/>
    <s v="Late"/>
    <n v="1"/>
    <n v="162.3296"/>
    <x v="2"/>
    <d v="2024-01-16T00:00:00"/>
    <n v="45.288783242616702"/>
    <d v="2024-02-08T00:00:00"/>
    <d v="2024-02-14T00:00:00"/>
    <n v="588.75418215401703"/>
    <n v="6"/>
    <s v="Late"/>
    <n v="45.288783242616695"/>
    <n v="0.40131958893380693"/>
    <n v="1.6985017352087392E-3"/>
    <n v="0.86"/>
    <n v="0"/>
    <n v="33.877346830732399"/>
  </r>
  <r>
    <x v="6"/>
    <x v="7"/>
    <x v="0"/>
    <n v="0.87"/>
    <x v="1"/>
    <s v="Late"/>
    <n v="1"/>
    <n v="-4.8192000000000199"/>
    <x v="3"/>
    <d v="2024-03-02T00:00:00"/>
    <n v="9.1748363153580499"/>
    <d v="2024-03-22T00:00:00"/>
    <d v="2024-03-21T00:00:00"/>
    <n v="183.496726307161"/>
    <n v="-1"/>
    <s v="On Time"/>
    <n v="9.1748363153580499"/>
    <n v="0"/>
    <n v="5.4496885046661173E-3"/>
    <n v="0.87"/>
    <n v="0"/>
    <n v="26.263490655139986"/>
  </r>
  <r>
    <x v="7"/>
    <x v="2"/>
    <x v="2"/>
    <n v="0.93"/>
    <x v="2"/>
    <s v="Late"/>
    <n v="1"/>
    <n v="367.14199999999897"/>
    <x v="0"/>
    <d v="2021-06-30T00:00:00"/>
    <n v="4.9976941918426396"/>
    <d v="2021-07-19T00:00:00"/>
    <d v="2021-07-16T00:00:00"/>
    <n v="39.981553534741103"/>
    <n v="-3"/>
    <s v="On Time"/>
    <n v="4.9976941918426379"/>
    <n v="0.37103714797948767"/>
    <n v="2.5011534359991081E-2"/>
    <n v="0.93"/>
    <n v="0"/>
    <n v="36.071088990389491"/>
  </r>
  <r>
    <x v="8"/>
    <x v="3"/>
    <x v="1"/>
    <n v="0.7"/>
    <x v="1"/>
    <s v="Late"/>
    <n v="1"/>
    <n v="-112.82"/>
    <x v="2"/>
    <d v="2021-10-22T00:00:00"/>
    <n v="26.0575281180828"/>
    <d v="2021-11-02T00:00:00"/>
    <d v="2021-11-06T00:00:00"/>
    <n v="260.57528118082797"/>
    <n v="4"/>
    <s v="Late"/>
    <n v="26.057528118082796"/>
    <n v="0"/>
    <n v="3.8376625575088346E-3"/>
    <n v="0.7"/>
    <n v="0"/>
    <n v="21.115129876725263"/>
  </r>
  <r>
    <x v="9"/>
    <x v="1"/>
    <x v="3"/>
    <n v="0.79"/>
    <x v="0"/>
    <s v="Late"/>
    <n v="1"/>
    <n v="419.512"/>
    <x v="6"/>
    <d v="2021-08-28T00:00:00"/>
    <n v="26.2505489148853"/>
    <d v="2021-09-15T00:00:00"/>
    <d v="2021-09-19T00:00:00"/>
    <n v="262.50548914885297"/>
    <n v="4"/>
    <s v="Late"/>
    <n v="26.250548914885297"/>
    <n v="0.67957855995023586"/>
    <n v="3.809444150072431E-3"/>
    <n v="0.79"/>
    <n v="0"/>
    <n v="37.405854523506889"/>
  </r>
  <r>
    <x v="5"/>
    <x v="1"/>
    <x v="2"/>
    <n v="0.69"/>
    <x v="2"/>
    <s v="Late"/>
    <n v="1"/>
    <n v="251.43599999999901"/>
    <x v="0"/>
    <d v="2021-05-10T00:00:00"/>
    <n v="24.339096252842602"/>
    <d v="2021-05-29T00:00:00"/>
    <d v="2021-05-31T00:00:00"/>
    <n v="413.76463629832398"/>
    <n v="2"/>
    <s v="Late"/>
    <n v="24.339096252842587"/>
    <n v="0.72244250594765991"/>
    <n v="2.4168329341684018E-3"/>
    <n v="0.69"/>
    <n v="0"/>
    <n v="35.221355106978244"/>
  </r>
  <r>
    <x v="6"/>
    <x v="5"/>
    <x v="1"/>
    <n v="0.99"/>
    <x v="2"/>
    <s v="Late"/>
    <n v="1"/>
    <n v="145.149599999999"/>
    <x v="4"/>
    <d v="2023-03-06T00:00:00"/>
    <n v="71.034218465793501"/>
    <d v="2023-03-27T00:00:00"/>
    <d v="2023-03-28T00:00:00"/>
    <n v="1278.6159323842801"/>
    <n v="1"/>
    <s v="Late"/>
    <n v="71.034218465793344"/>
    <n v="0.64205713638631479"/>
    <n v="7.8209568227048827E-4"/>
    <n v="0.99"/>
    <n v="0"/>
    <n v="42.564605598194412"/>
  </r>
  <r>
    <x v="7"/>
    <x v="1"/>
    <x v="3"/>
    <n v="0.97"/>
    <x v="0"/>
    <s v="Late"/>
    <n v="1"/>
    <n v="67.589200000000005"/>
    <x v="1"/>
    <d v="2022-04-06T00:00:00"/>
    <n v="60.100097294462103"/>
    <d v="2022-04-20T00:00:00"/>
    <d v="2022-04-22T00:00:00"/>
    <n v="901.50145941693199"/>
    <n v="2"/>
    <s v="Late"/>
    <n v="60.100097294462131"/>
    <n v="0.46453313832653381"/>
    <n v="1.1092605447879965E-3"/>
    <n v="0.97"/>
    <n v="0"/>
    <n v="38.423940582874316"/>
  </r>
  <r>
    <x v="8"/>
    <x v="2"/>
    <x v="2"/>
    <n v="0.62"/>
    <x v="2"/>
    <s v="Late"/>
    <n v="1"/>
    <n v="422.36599999999902"/>
    <x v="6"/>
    <d v="2021-02-27T00:00:00"/>
    <n v="37.311239872485601"/>
    <d v="2021-03-22T00:00:00"/>
    <d v="2021-03-19T00:00:00"/>
    <n v="485.04611834231201"/>
    <n v="-3"/>
    <s v="On Time"/>
    <n v="37.311239872485537"/>
    <n v="0.6761469329209524"/>
    <n v="2.0616596281969814E-3"/>
    <n v="0.62"/>
    <n v="0"/>
    <n v="32.184788447264957"/>
  </r>
  <r>
    <x v="9"/>
    <x v="5"/>
    <x v="2"/>
    <n v="0.88"/>
    <x v="2"/>
    <s v="Late"/>
    <n v="1"/>
    <n v="385.988799999999"/>
    <x v="1"/>
    <d v="2023-12-26T00:00:00"/>
    <n v="19.8419335908467"/>
    <d v="2024-01-18T00:00:00"/>
    <d v="2024-01-16T00:00:00"/>
    <n v="238.10320309016001"/>
    <n v="-2"/>
    <s v="On Time"/>
    <n v="19.841933590846669"/>
    <n v="0.74373242736644607"/>
    <n v="4.1998595021896477E-3"/>
    <n v="0.88"/>
    <n v="0"/>
    <n v="41.400644332394613"/>
  </r>
  <r>
    <x v="0"/>
    <x v="2"/>
    <x v="1"/>
    <n v="0.96"/>
    <x v="1"/>
    <s v="Late"/>
    <n v="1"/>
    <n v="295.54500000000002"/>
    <x v="5"/>
    <d v="2023-03-09T00:00:00"/>
    <n v="40.255346353670802"/>
    <d v="2023-03-24T00:00:00"/>
    <d v="2023-03-21T00:00:00"/>
    <n v="644.08554165873295"/>
    <n v="-3"/>
    <s v="On Time"/>
    <n v="40.255346353670809"/>
    <n v="0.20743712032679534"/>
    <n v="1.5525888027616173E-3"/>
    <n v="0.96"/>
    <n v="0"/>
    <n v="32.995320070618753"/>
  </r>
  <r>
    <x v="1"/>
    <x v="7"/>
    <x v="2"/>
    <n v="0.67"/>
    <x v="0"/>
    <s v="Late"/>
    <n v="1"/>
    <n v="151.19040000000001"/>
    <x v="4"/>
    <d v="2021-09-12T00:00:00"/>
    <n v="54.887526130979097"/>
    <d v="2021-09-23T00:00:00"/>
    <d v="2021-09-28T00:00:00"/>
    <n v="493.98773517881199"/>
    <n v="5"/>
    <s v="Late"/>
    <n v="54.887526130979111"/>
    <n v="0.77015991002005002"/>
    <n v="2.0243417574689854E-3"/>
    <n v="0.67"/>
    <n v="0"/>
    <n v="35.563928453125072"/>
  </r>
  <r>
    <x v="2"/>
    <x v="4"/>
    <x v="2"/>
    <n v="0.82"/>
    <x v="1"/>
    <s v="Late"/>
    <n v="1"/>
    <n v="453.69600000000003"/>
    <x v="4"/>
    <d v="2023-07-17T00:00:00"/>
    <n v="35.121807422929201"/>
    <d v="2023-07-30T00:00:00"/>
    <d v="2023-08-03T00:00:00"/>
    <n v="386.33988165222098"/>
    <n v="4"/>
    <s v="Late"/>
    <n v="35.12180742292918"/>
    <n v="0.30521171937226876"/>
    <n v="2.5883944358097342E-3"/>
    <n v="0.82"/>
    <n v="0"/>
    <n v="30.78188622051966"/>
  </r>
  <r>
    <x v="3"/>
    <x v="7"/>
    <x v="2"/>
    <n v="0.96"/>
    <x v="1"/>
    <s v="Late"/>
    <n v="1"/>
    <n v="100.3579"/>
    <x v="6"/>
    <d v="2022-08-15T00:00:00"/>
    <n v="74.938832400096004"/>
    <d v="2022-08-29T00:00:00"/>
    <d v="2022-08-27T00:00:00"/>
    <n v="749.38832400095998"/>
    <n v="-2"/>
    <s v="On Time"/>
    <n v="74.938832400096004"/>
    <n v="0.43861204093040496"/>
    <n v="1.3344216449237324E-3"/>
    <n v="0.96"/>
    <n v="0"/>
    <n v="37.612273467955809"/>
  </r>
  <r>
    <x v="4"/>
    <x v="7"/>
    <x v="3"/>
    <n v="0.61"/>
    <x v="1"/>
    <s v="On Time"/>
    <n v="0"/>
    <n v="-86.535999999999802"/>
    <x v="4"/>
    <d v="2022-04-09T00:00:00"/>
    <n v="27.4250907139524"/>
    <d v="2022-05-03T00:00:00"/>
    <d v="2022-05-08T00:00:00"/>
    <n v="411.37636070928602"/>
    <n v="5"/>
    <s v="Late"/>
    <n v="27.4250907139524"/>
    <n v="0"/>
    <n v="2.430864034763257E-3"/>
    <n v="0.61"/>
    <n v="1"/>
    <n v="38.372925921042899"/>
  </r>
  <r>
    <x v="5"/>
    <x v="2"/>
    <x v="0"/>
    <n v="0.87"/>
    <x v="3"/>
    <s v="Late"/>
    <n v="1"/>
    <n v="334.89179999999999"/>
    <x v="2"/>
    <d v="2021-05-25T00:00:00"/>
    <n v="17.905812008867098"/>
    <d v="2021-06-15T00:00:00"/>
    <d v="2021-06-19T00:00:00"/>
    <n v="358.11624017734198"/>
    <n v="4"/>
    <s v="Late"/>
    <n v="17.905812008867098"/>
    <n v="0.59336758613431306"/>
    <n v="2.7923894194376445E-3"/>
    <n v="0.87"/>
    <n v="0"/>
    <n v="38.051123405269394"/>
  </r>
  <r>
    <x v="6"/>
    <x v="5"/>
    <x v="1"/>
    <n v="0.72"/>
    <x v="3"/>
    <s v="Late"/>
    <n v="1"/>
    <n v="958.56799999999998"/>
    <x v="4"/>
    <d v="2021-02-26T00:00:00"/>
    <n v="54.933721898361902"/>
    <d v="2021-03-16T00:00:00"/>
    <d v="2021-03-17T00:00:00"/>
    <n v="549.33721898361898"/>
    <n v="1"/>
    <s v="Late"/>
    <n v="54.933721898361895"/>
    <n v="0.43538262808016465"/>
    <n v="1.8203754732843244E-3"/>
    <n v="0.72"/>
    <n v="0"/>
    <n v="30.362263825801822"/>
  </r>
  <r>
    <x v="7"/>
    <x v="5"/>
    <x v="1"/>
    <n v="0.96"/>
    <x v="3"/>
    <s v="Late"/>
    <n v="1"/>
    <n v="625.22899999999902"/>
    <x v="1"/>
    <d v="2022-05-16T00:00:00"/>
    <n v="32.209555444085296"/>
    <d v="2022-06-02T00:00:00"/>
    <d v="2022-06-07T00:00:00"/>
    <n v="257.67644355268197"/>
    <n v="5"/>
    <s v="Late"/>
    <n v="32.209555444085247"/>
    <n v="0.63107974027206193"/>
    <n v="3.880835928238624E-3"/>
    <n v="0.96"/>
    <n v="0"/>
    <n v="41.538019883288399"/>
  </r>
  <r>
    <x v="8"/>
    <x v="1"/>
    <x v="2"/>
    <n v="0.98"/>
    <x v="1"/>
    <s v="On Time"/>
    <n v="0"/>
    <n v="18.635099999999898"/>
    <x v="1"/>
    <d v="2023-11-11T00:00:00"/>
    <n v="6.4570094852955204"/>
    <d v="2023-11-23T00:00:00"/>
    <d v="2023-11-20T00:00:00"/>
    <n v="71.027104338250695"/>
    <n v="-3"/>
    <s v="On Time"/>
    <n v="6.4570094852955178"/>
    <n v="0.4301224925043427"/>
    <n v="1.4079132315991987E-2"/>
    <n v="0.98"/>
    <n v="1"/>
    <n v="58.424823819566619"/>
  </r>
  <r>
    <x v="9"/>
    <x v="0"/>
    <x v="2"/>
    <n v="0.97"/>
    <x v="2"/>
    <s v="Late"/>
    <n v="1"/>
    <n v="310.3236"/>
    <x v="0"/>
    <d v="2021-09-25T00:00:00"/>
    <n v="26.040393574162"/>
    <d v="2021-10-09T00:00:00"/>
    <d v="2021-10-06T00:00:00"/>
    <n v="234.36354216745801"/>
    <n v="-3"/>
    <s v="On Time"/>
    <n v="26.040393574162"/>
    <n v="0.42655953867444779"/>
    <n v="4.2668752603400983E-3"/>
    <n v="0.97"/>
    <n v="0"/>
    <n v="37.759197031299159"/>
  </r>
  <r>
    <x v="3"/>
    <x v="4"/>
    <x v="1"/>
    <n v="0.78"/>
    <x v="1"/>
    <s v="Late"/>
    <n v="1"/>
    <n v="631.67100000000005"/>
    <x v="1"/>
    <d v="2023-10-25T00:00:00"/>
    <n v="75.799893827958599"/>
    <d v="2023-11-05T00:00:00"/>
    <d v="2023-11-11T00:00:00"/>
    <n v="606.39915062366799"/>
    <n v="6"/>
    <s v="Late"/>
    <n v="75.799893827958499"/>
    <n v="0.45043073480555429"/>
    <n v="1.6490788269929507E-3"/>
    <n v="0.78"/>
    <n v="0"/>
    <n v="32.458087060920867"/>
  </r>
  <r>
    <x v="4"/>
    <x v="2"/>
    <x v="2"/>
    <n v="0.94"/>
    <x v="2"/>
    <s v="Late"/>
    <n v="1"/>
    <n v="82.6875"/>
    <x v="0"/>
    <d v="2021-07-19T00:00:00"/>
    <n v="18.1608221162377"/>
    <d v="2021-08-09T00:00:00"/>
    <d v="2021-08-12T00:00:00"/>
    <n v="199.76904327861499"/>
    <n v="3"/>
    <s v="Late"/>
    <n v="18.160822116237725"/>
    <n v="0.26271893244370309"/>
    <n v="5.0057805933690861E-3"/>
    <n v="0.94"/>
    <n v="0"/>
    <n v="33.604552066675133"/>
  </r>
  <r>
    <x v="5"/>
    <x v="1"/>
    <x v="3"/>
    <n v="0.93"/>
    <x v="1"/>
    <s v="Late"/>
    <n v="1"/>
    <n v="314.096"/>
    <x v="1"/>
    <d v="2023-09-24T00:00:00"/>
    <n v="49.232652626469203"/>
    <d v="2023-10-05T00:00:00"/>
    <d v="2023-10-09T00:00:00"/>
    <n v="640.02448414410003"/>
    <n v="4"/>
    <s v="Late"/>
    <n v="49.232652626469232"/>
    <n v="0.65995427956700059"/>
    <n v="1.5624402265442901E-3"/>
    <n v="0.93"/>
    <n v="0"/>
    <n v="41.145958798136341"/>
  </r>
  <r>
    <x v="6"/>
    <x v="3"/>
    <x v="1"/>
    <n v="0.72"/>
    <x v="0"/>
    <s v="Late"/>
    <n v="1"/>
    <n v="58.404999999999902"/>
    <x v="2"/>
    <d v="2022-03-07T00:00:00"/>
    <n v="29.1416936652126"/>
    <d v="2022-03-20T00:00:00"/>
    <d v="2022-03-19T00:00:00"/>
    <n v="87.425080995637899"/>
    <n v="-1"/>
    <s v="On Time"/>
    <n v="29.141693665212632"/>
    <n v="5.3651232540728643E-2"/>
    <n v="1.1438365153472324E-2"/>
    <n v="0.72"/>
    <n v="0"/>
    <n v="23.016175605418741"/>
  </r>
  <r>
    <x v="7"/>
    <x v="0"/>
    <x v="2"/>
    <n v="0.92"/>
    <x v="0"/>
    <s v="Late"/>
    <n v="1"/>
    <n v="142.40799999999899"/>
    <x v="0"/>
    <d v="2021-07-26T00:00:00"/>
    <n v="52.342986247763399"/>
    <d v="2021-08-06T00:00:00"/>
    <d v="2021-08-09T00:00:00"/>
    <n v="628.11583497316099"/>
    <n v="3"/>
    <s v="Late"/>
    <n v="52.342986247763413"/>
    <n v="8.565132246873601E-2"/>
    <n v="1.5920630309260225E-3"/>
    <n v="0.92"/>
    <n v="0"/>
    <n v="29.360788340302506"/>
  </r>
  <r>
    <x v="8"/>
    <x v="0"/>
    <x v="1"/>
    <n v="0.61"/>
    <x v="1"/>
    <s v="Late"/>
    <n v="1"/>
    <n v="259.003999999999"/>
    <x v="3"/>
    <d v="2023-07-07T00:00:00"/>
    <n v="66.526076913742799"/>
    <d v="2023-07-23T00:00:00"/>
    <d v="2023-07-22T00:00:00"/>
    <n v="731.78684605117098"/>
    <n v="-1"/>
    <s v="On Time"/>
    <n v="66.526076913742813"/>
    <n v="0.37163880136140959"/>
    <n v="1.3665181403521346E-3"/>
    <n v="0.61"/>
    <n v="0"/>
    <n v="25.773771571438758"/>
  </r>
  <r>
    <x v="9"/>
    <x v="2"/>
    <x v="0"/>
    <n v="0.83"/>
    <x v="1"/>
    <s v="Late"/>
    <n v="1"/>
    <n v="455.04160000000002"/>
    <x v="5"/>
    <d v="2023-12-26T00:00:00"/>
    <n v="36.004037055706902"/>
    <d v="2024-01-11T00:00:00"/>
    <d v="2024-01-09T00:00:00"/>
    <n v="396.04440761277601"/>
    <n v="-2"/>
    <s v="On Time"/>
    <n v="36.00403705570691"/>
    <n v="0.44996527178977647"/>
    <n v="2.5249693740852634E-3"/>
    <n v="0.83"/>
    <n v="0"/>
    <n v="33.975054517018087"/>
  </r>
  <r>
    <x v="0"/>
    <x v="6"/>
    <x v="2"/>
    <n v="0.69"/>
    <x v="2"/>
    <s v="Late"/>
    <n v="1"/>
    <n v="-80.774999999999906"/>
    <x v="6"/>
    <d v="2023-12-27T00:00:00"/>
    <n v="38.560018844862697"/>
    <d v="2024-01-18T00:00:00"/>
    <d v="2024-01-20T00:00:00"/>
    <n v="269.92013191403902"/>
    <n v="2"/>
    <s v="Late"/>
    <n v="38.560018844862718"/>
    <n v="0"/>
    <n v="3.7047996120514203E-3"/>
    <n v="0.69"/>
    <n v="0"/>
    <n v="20.81114398836154"/>
  </r>
  <r>
    <x v="1"/>
    <x v="4"/>
    <x v="1"/>
    <n v="0.65"/>
    <x v="2"/>
    <s v="Late"/>
    <n v="1"/>
    <n v="455.62920000000003"/>
    <x v="1"/>
    <d v="2022-06-18T00:00:00"/>
    <n v="44.565917882768296"/>
    <d v="2022-07-03T00:00:00"/>
    <d v="2022-07-07T00:00:00"/>
    <n v="311.96142517937801"/>
    <n v="4"/>
    <s v="Late"/>
    <n v="44.565917882768289"/>
    <n v="0.2990656045923451"/>
    <n v="3.2055245273514164E-3"/>
    <n v="0.65"/>
    <n v="0"/>
    <n v="25.577477827667444"/>
  </r>
  <r>
    <x v="2"/>
    <x v="0"/>
    <x v="2"/>
    <n v="0.63"/>
    <x v="1"/>
    <s v="Late"/>
    <n v="1"/>
    <n v="252.63759999999999"/>
    <x v="4"/>
    <d v="2023-02-12T00:00:00"/>
    <n v="18.788863339445999"/>
    <d v="2023-02-27T00:00:00"/>
    <d v="2023-02-28T00:00:00"/>
    <n v="225.46636007335201"/>
    <n v="1"/>
    <s v="Late"/>
    <n v="18.788863339445999"/>
    <n v="0.29148779256357549"/>
    <n v="4.4352514480415859E-3"/>
    <n v="0.63"/>
    <n v="0"/>
    <n v="24.862813394712756"/>
  </r>
  <r>
    <x v="3"/>
    <x v="2"/>
    <x v="2"/>
    <n v="0.87"/>
    <x v="2"/>
    <s v="Late"/>
    <n v="1"/>
    <n v="641.65499999999895"/>
    <x v="1"/>
    <d v="2021-10-14T00:00:00"/>
    <n v="73.116428720631106"/>
    <d v="2021-11-01T00:00:00"/>
    <d v="2021-11-06T00:00:00"/>
    <n v="877.39714464757401"/>
    <n v="5"/>
    <s v="Late"/>
    <n v="73.116428720631163"/>
    <n v="0.40764458675205312"/>
    <n v="1.1397347325556571E-3"/>
    <n v="0.87"/>
    <n v="0"/>
    <n v="34.287083777017735"/>
  </r>
  <r>
    <x v="4"/>
    <x v="2"/>
    <x v="2"/>
    <n v="0.73"/>
    <x v="2"/>
    <s v="On Time"/>
    <n v="0"/>
    <n v="579.90899999999999"/>
    <x v="4"/>
    <d v="2022-08-31T00:00:00"/>
    <n v="45.982751390479002"/>
    <d v="2022-09-21T00:00:00"/>
    <d v="2022-09-18T00:00:00"/>
    <n v="551.79301668574794"/>
    <n v="-3"/>
    <s v="On Time"/>
    <n v="45.982751390478995"/>
    <n v="0.83355109679478068"/>
    <n v="1.8122737507740348E-3"/>
    <n v="0.73"/>
    <n v="1"/>
    <n v="58.62539014841883"/>
  </r>
  <r>
    <x v="5"/>
    <x v="1"/>
    <x v="1"/>
    <n v="0.88"/>
    <x v="2"/>
    <s v="On Time"/>
    <n v="0"/>
    <n v="227.25649999999999"/>
    <x v="5"/>
    <d v="2023-03-21T00:00:00"/>
    <n v="31.953227687396399"/>
    <d v="2023-04-14T00:00:00"/>
    <d v="2023-04-16T00:00:00"/>
    <n v="319.53227687396401"/>
    <n v="2"/>
    <s v="Late"/>
    <n v="31.953227687396399"/>
    <n v="0.26122742918755132"/>
    <n v="3.1295742946007266E-3"/>
    <n v="0.88"/>
    <n v="1"/>
    <n v="51.718435812589057"/>
  </r>
  <r>
    <x v="6"/>
    <x v="3"/>
    <x v="0"/>
    <n v="0.63"/>
    <x v="0"/>
    <s v="Late"/>
    <n v="1"/>
    <n v="79.193599999999904"/>
    <x v="5"/>
    <d v="2024-02-06T00:00:00"/>
    <n v="46.812741421208401"/>
    <d v="2024-02-17T00:00:00"/>
    <d v="2024-02-19T00:00:00"/>
    <n v="468.12741421208398"/>
    <n v="2"/>
    <s v="Late"/>
    <n v="46.812741421208401"/>
    <n v="9.3178412488045731E-2"/>
    <n v="2.1361705587849902E-3"/>
    <n v="0.63"/>
    <n v="0"/>
    <n v="20.827653366524462"/>
  </r>
  <r>
    <x v="7"/>
    <x v="6"/>
    <x v="2"/>
    <n v="0.72"/>
    <x v="2"/>
    <s v="On Time"/>
    <n v="0"/>
    <n v="481.89749999999901"/>
    <x v="5"/>
    <d v="2022-04-16T00:00:00"/>
    <n v="71.103499984905795"/>
    <d v="2022-04-26T00:00:00"/>
    <d v="2022-04-26T00:00:00"/>
    <n v="1137.65599975849"/>
    <n v="0"/>
    <s v="On Time"/>
    <n v="71.103499984905625"/>
    <n v="0.66217678521739898"/>
    <n v="8.7900033069072492E-4"/>
    <n v="0.72"/>
    <n v="1"/>
    <n v="54.869905714268711"/>
  </r>
  <r>
    <x v="8"/>
    <x v="4"/>
    <x v="1"/>
    <n v="0.81"/>
    <x v="1"/>
    <s v="Late"/>
    <n v="1"/>
    <n v="349.41359999999997"/>
    <x v="4"/>
    <d v="2023-12-05T00:00:00"/>
    <n v="39.617637272387199"/>
    <d v="2023-12-27T00:00:00"/>
    <d v="2023-12-24T00:00:00"/>
    <n v="594.26455908580795"/>
    <n v="-3"/>
    <s v="On Time"/>
    <n v="39.617637272387199"/>
    <n v="0.24853488201383089"/>
    <n v="1.6827522097874366E-3"/>
    <n v="0.81"/>
    <n v="0"/>
    <n v="29.32118020657024"/>
  </r>
  <r>
    <x v="9"/>
    <x v="5"/>
    <x v="2"/>
    <n v="0.91"/>
    <x v="1"/>
    <s v="Late"/>
    <n v="1"/>
    <n v="-80.107500000000002"/>
    <x v="1"/>
    <d v="2022-02-26T00:00:00"/>
    <n v="19.449254837386299"/>
    <d v="2022-03-17T00:00:00"/>
    <d v="2022-03-16T00:00:00"/>
    <n v="175.04329353647699"/>
    <n v="-1"/>
    <s v="On Time"/>
    <n v="19.449254837386334"/>
    <n v="0"/>
    <n v="5.7128723974312762E-3"/>
    <n v="0.91"/>
    <n v="0"/>
    <n v="27.471386171922941"/>
  </r>
  <r>
    <x v="3"/>
    <x v="7"/>
    <x v="3"/>
    <n v="0.72"/>
    <x v="0"/>
    <s v="Late"/>
    <n v="1"/>
    <n v="462.43200000000002"/>
    <x v="5"/>
    <d v="2023-02-25T00:00:00"/>
    <n v="75.334705625846695"/>
    <d v="2023-03-11T00:00:00"/>
    <d v="2023-03-11T00:00:00"/>
    <n v="602.67764500677299"/>
    <n v="0"/>
    <s v="On Time"/>
    <n v="75.334705625846624"/>
    <n v="0.32151915632091849"/>
    <n v="1.6592618098332846E-3"/>
    <n v="0.72"/>
    <n v="0"/>
    <n v="28.080160980713369"/>
  </r>
  <r>
    <x v="4"/>
    <x v="3"/>
    <x v="2"/>
    <n v="0.84"/>
    <x v="3"/>
    <s v="Late"/>
    <n v="1"/>
    <n v="42.712400000000002"/>
    <x v="2"/>
    <d v="2023-03-17T00:00:00"/>
    <n v="79.133585694662699"/>
    <d v="2023-04-06T00:00:00"/>
    <d v="2023-04-06T00:00:00"/>
    <n v="1028.7366140306101"/>
    <n v="0"/>
    <s v="On Time"/>
    <n v="79.133585694662315"/>
    <n v="0.11665197333132325"/>
    <n v="9.7206611134601352E-4"/>
    <n v="0.84"/>
    <n v="0"/>
    <n v="27.562201449966846"/>
  </r>
  <r>
    <x v="5"/>
    <x v="3"/>
    <x v="3"/>
    <n v="0.95"/>
    <x v="2"/>
    <s v="Late"/>
    <n v="1"/>
    <n v="10.065"/>
    <x v="0"/>
    <d v="2023-09-22T00:00:00"/>
    <n v="67.895754189368105"/>
    <d v="2023-10-06T00:00:00"/>
    <d v="2023-10-06T00:00:00"/>
    <n v="882.64480446178595"/>
    <n v="0"/>
    <s v="On Time"/>
    <n v="67.895754189368148"/>
    <n v="1.3442134715164304E-2"/>
    <n v="1.1329585751198913E-3"/>
    <n v="0.95"/>
    <n v="0"/>
    <n v="28.802831451556877"/>
  </r>
  <r>
    <x v="6"/>
    <x v="1"/>
    <x v="1"/>
    <n v="0.84"/>
    <x v="3"/>
    <s v="On Time"/>
    <n v="0"/>
    <n v="470.83620000000002"/>
    <x v="4"/>
    <d v="2022-07-07T00:00:00"/>
    <n v="46.646231971667298"/>
    <d v="2022-07-30T00:00:00"/>
    <d v="2022-08-01T00:00:00"/>
    <n v="606.40101563167502"/>
    <n v="2"/>
    <s v="Late"/>
    <n v="46.646231971667312"/>
    <n v="0.46792746926555151"/>
    <n v="1.6490737551920511E-3"/>
    <n v="0.84"/>
    <n v="1"/>
    <n v="54.608021597966797"/>
  </r>
  <r>
    <x v="7"/>
    <x v="5"/>
    <x v="0"/>
    <n v="0.69"/>
    <x v="0"/>
    <s v="Late"/>
    <n v="1"/>
    <n v="69.583500000000001"/>
    <x v="4"/>
    <d v="2024-04-04T00:00:00"/>
    <n v="41.161397781506103"/>
    <d v="2024-04-27T00:00:00"/>
    <d v="2024-05-01T00:00:00"/>
    <n v="370.45258003355502"/>
    <n v="4"/>
    <s v="Late"/>
    <n v="41.161397781506111"/>
    <n v="0.57137050585670468"/>
    <n v="2.6994008245520154E-3"/>
    <n v="0.69"/>
    <n v="0"/>
    <n v="32.208392141870654"/>
  </r>
  <r>
    <x v="8"/>
    <x v="0"/>
    <x v="2"/>
    <n v="0.61"/>
    <x v="2"/>
    <s v="Late"/>
    <n v="1"/>
    <n v="84.951999999999998"/>
    <x v="1"/>
    <d v="2021-03-18T00:00:00"/>
    <n v="37.949678856455797"/>
    <d v="2021-04-09T00:00:00"/>
    <d v="2021-04-15T00:00:00"/>
    <n v="379.49678856455802"/>
    <n v="6"/>
    <s v="Late"/>
    <n v="37.949678856455805"/>
    <n v="0.16376541710522766"/>
    <n v="2.635068411994968E-3"/>
    <n v="0.61"/>
    <n v="0"/>
    <n v="21.654360394464401"/>
  </r>
  <r>
    <x v="9"/>
    <x v="0"/>
    <x v="2"/>
    <n v="0.94"/>
    <x v="3"/>
    <s v="On Time"/>
    <n v="0"/>
    <n v="667.897999999999"/>
    <x v="4"/>
    <d v="2023-01-08T00:00:00"/>
    <n v="23.473933298333002"/>
    <d v="2023-01-20T00:00:00"/>
    <d v="2023-01-21T00:00:00"/>
    <n v="305.161132878329"/>
    <n v="1"/>
    <s v="Late"/>
    <n v="23.473933298333002"/>
    <n v="0.47806437389770651"/>
    <n v="3.2769572932432084E-3"/>
    <n v="0.94"/>
    <n v="1"/>
    <n v="57.859596196751426"/>
  </r>
  <r>
    <x v="0"/>
    <x v="1"/>
    <x v="2"/>
    <n v="0.61"/>
    <x v="1"/>
    <s v="Late"/>
    <n v="1"/>
    <n v="-85.313999999999893"/>
    <x v="4"/>
    <d v="2023-08-15T00:00:00"/>
    <n v="54.933383324469702"/>
    <d v="2023-09-04T00:00:00"/>
    <d v="2023-09-09T00:00:00"/>
    <n v="274.66691662234803"/>
    <n v="5"/>
    <s v="Late"/>
    <n v="54.933383324469602"/>
    <n v="0"/>
    <n v="3.6407733858058533E-3"/>
    <n v="0.61"/>
    <n v="0"/>
    <n v="18.409223201574175"/>
  </r>
  <r>
    <x v="1"/>
    <x v="2"/>
    <x v="1"/>
    <n v="0.94"/>
    <x v="0"/>
    <s v="Late"/>
    <n v="1"/>
    <n v="179.643599999999"/>
    <x v="5"/>
    <d v="2022-10-02T00:00:00"/>
    <n v="69.916030437220002"/>
    <d v="2022-10-20T00:00:00"/>
    <d v="2022-10-17T00:00:00"/>
    <n v="769.07633480942002"/>
    <n v="-3"/>
    <s v="On Time"/>
    <n v="69.916030437220002"/>
    <n v="0.33046801014562693"/>
    <n v="1.3002610465810312E-3"/>
    <n v="0.94"/>
    <n v="0"/>
    <n v="34.848368034309971"/>
  </r>
  <r>
    <x v="2"/>
    <x v="0"/>
    <x v="2"/>
    <n v="0.81"/>
    <x v="1"/>
    <s v="Late"/>
    <n v="1"/>
    <n v="544.875"/>
    <x v="1"/>
    <d v="2021-12-02T00:00:00"/>
    <n v="9.0338681482347205"/>
    <d v="2021-12-25T00:00:00"/>
    <d v="2021-12-22T00:00:00"/>
    <n v="135.50802222351999"/>
    <n v="-3"/>
    <s v="On Time"/>
    <n v="9.0338681482346654"/>
    <n v="0.50178427535397718"/>
    <n v="7.3796368922756737E-3"/>
    <n v="0.81"/>
    <n v="0"/>
    <n v="34.557074613847817"/>
  </r>
  <r>
    <x v="3"/>
    <x v="6"/>
    <x v="2"/>
    <n v="0.97"/>
    <x v="0"/>
    <s v="Late"/>
    <n v="1"/>
    <n v="396.87"/>
    <x v="5"/>
    <d v="2021-08-03T00:00:00"/>
    <n v="26.0202472167853"/>
    <d v="2021-08-18T00:00:00"/>
    <d v="2021-08-24T00:00:00"/>
    <n v="182.141730517497"/>
    <n v="6"/>
    <s v="Late"/>
    <n v="26.020247216785286"/>
    <n v="0.37166376355565545"/>
    <n v="5.4902300376680428E-3"/>
    <n v="0.97"/>
    <n v="0"/>
    <n v="36.697982172243151"/>
  </r>
  <r>
    <x v="4"/>
    <x v="4"/>
    <x v="1"/>
    <n v="0.91"/>
    <x v="0"/>
    <s v="On Time"/>
    <n v="0"/>
    <n v="155.30059999999901"/>
    <x v="0"/>
    <d v="2021-06-28T00:00:00"/>
    <n v="40.5625854437559"/>
    <d v="2021-07-14T00:00:00"/>
    <d v="2021-07-16T00:00:00"/>
    <n v="486.751025325071"/>
    <n v="2"/>
    <s v="Late"/>
    <n v="40.562585443755914"/>
    <n v="0.178707616367206"/>
    <n v="2.0544384047925975E-3"/>
    <n v="0.91"/>
    <n v="1"/>
    <n v="50.93578547948789"/>
  </r>
  <r>
    <x v="5"/>
    <x v="3"/>
    <x v="2"/>
    <n v="0.99"/>
    <x v="2"/>
    <s v="On Time"/>
    <n v="0"/>
    <n v="134.017"/>
    <x v="0"/>
    <d v="2023-05-05T00:00:00"/>
    <n v="20.361791464841598"/>
    <d v="2023-05-26T00:00:00"/>
    <d v="2023-05-23T00:00:00"/>
    <n v="264.70328904294098"/>
    <n v="-3"/>
    <s v="On Time"/>
    <n v="20.361791464841613"/>
    <n v="0.2737459836957965"/>
    <n v="3.7778147888361787E-3"/>
    <n v="0.99"/>
    <n v="1"/>
    <n v="55.288254117581012"/>
  </r>
  <r>
    <x v="6"/>
    <x v="0"/>
    <x v="0"/>
    <n v="0.75"/>
    <x v="2"/>
    <s v="On Time"/>
    <n v="0"/>
    <n v="306.96239999999898"/>
    <x v="5"/>
    <d v="2022-08-05T00:00:00"/>
    <n v="17.315159371744201"/>
    <d v="2022-08-25T00:00:00"/>
    <d v="2022-08-31T00:00:00"/>
    <n v="155.836434345698"/>
    <n v="6"/>
    <s v="Late"/>
    <n v="17.315159371744222"/>
    <n v="0.71662856630583316"/>
    <n v="6.4169846043939972E-3"/>
    <n v="0.75"/>
    <n v="1"/>
    <n v="57.025080864248487"/>
  </r>
  <r>
    <x v="7"/>
    <x v="1"/>
    <x v="1"/>
    <n v="0.8"/>
    <x v="0"/>
    <s v="On Time"/>
    <n v="0"/>
    <n v="165.96899999999999"/>
    <x v="0"/>
    <d v="2021-03-31T00:00:00"/>
    <n v="65.441869780791194"/>
    <d v="2021-04-23T00:00:00"/>
    <d v="2021-04-28T00:00:00"/>
    <n v="1177.9536560542399"/>
    <n v="5"/>
    <s v="Late"/>
    <n v="65.441869780791109"/>
    <n v="0.14605845717619789"/>
    <n v="8.4892983256206649E-4"/>
    <n v="0.8"/>
    <n v="1"/>
    <n v="46.946637038500825"/>
  </r>
  <r>
    <x v="8"/>
    <x v="2"/>
    <x v="2"/>
    <n v="0.62"/>
    <x v="0"/>
    <s v="Late"/>
    <n v="1"/>
    <n v="105.8124"/>
    <x v="1"/>
    <d v="2022-06-04T00:00:00"/>
    <n v="45.508374942609997"/>
    <d v="2022-06-24T00:00:00"/>
    <d v="2022-06-22T00:00:00"/>
    <n v="546.10049931132005"/>
    <n v="-2"/>
    <s v="On Time"/>
    <n v="45.508374942610004"/>
    <n v="0.63802984037857624"/>
    <n v="1.8311647787560832E-3"/>
    <n v="0.62"/>
    <n v="0"/>
    <n v="31.41553175093421"/>
  </r>
  <r>
    <x v="9"/>
    <x v="0"/>
    <x v="2"/>
    <n v="0.66"/>
    <x v="1"/>
    <s v="Late"/>
    <n v="1"/>
    <n v="327.2285"/>
    <x v="6"/>
    <d v="2024-03-30T00:00:00"/>
    <n v="78.501627196440296"/>
    <d v="2024-04-09T00:00:00"/>
    <d v="2024-04-13T00:00:00"/>
    <n v="1099.0227807501601"/>
    <n v="4"/>
    <s v="Late"/>
    <n v="78.501627196440012"/>
    <n v="0.27343587121055446"/>
    <n v="9.0989924641728527E-4"/>
    <n v="0.66"/>
    <n v="0"/>
    <n v="25.296014401603607"/>
  </r>
  <r>
    <x v="7"/>
    <x v="3"/>
    <x v="2"/>
    <n v="0.89"/>
    <x v="3"/>
    <s v="Late"/>
    <n v="1"/>
    <n v="201.31299999999999"/>
    <x v="5"/>
    <d v="2023-12-06T00:00:00"/>
    <n v="5.08304515821394"/>
    <d v="2023-12-18T00:00:00"/>
    <d v="2023-12-18T00:00:00"/>
    <n v="45.747406423925398"/>
    <n v="0"/>
    <s v="On Time"/>
    <n v="5.0830451582139329"/>
    <n v="0.67325835331574213"/>
    <n v="2.1859162697297978E-2"/>
    <n v="0.89"/>
    <n v="0"/>
    <n v="40.820941947233784"/>
  </r>
  <r>
    <x v="8"/>
    <x v="0"/>
    <x v="3"/>
    <n v="0.63"/>
    <x v="3"/>
    <s v="Late"/>
    <n v="1"/>
    <n v="557.70500000000004"/>
    <x v="2"/>
    <d v="2021-09-01T00:00:00"/>
    <n v="73.543535091207502"/>
    <d v="2021-09-24T00:00:00"/>
    <d v="2021-09-21T00:00:00"/>
    <n v="735.43535091207502"/>
    <n v="-3"/>
    <s v="On Time"/>
    <n v="73.543535091207502"/>
    <n v="0.68137030317469049"/>
    <n v="1.3597388251187766E-3"/>
    <n v="0.63"/>
    <n v="0"/>
    <n v="32.568198228247375"/>
  </r>
  <r>
    <x v="9"/>
    <x v="1"/>
    <x v="3"/>
    <n v="0.84"/>
    <x v="1"/>
    <s v="Late"/>
    <n v="1"/>
    <n v="388.14079999999899"/>
    <x v="2"/>
    <d v="2021-04-17T00:00:00"/>
    <n v="65.159655638704805"/>
    <d v="2021-05-04T00:00:00"/>
    <d v="2021-05-10T00:00:00"/>
    <n v="651.59655638704805"/>
    <n v="6"/>
    <s v="Late"/>
    <n v="65.159655638704805"/>
    <n v="0.20542845722879785"/>
    <n v="1.5346919657537302E-3"/>
    <n v="0.84"/>
    <n v="0"/>
    <n v="29.354609903548567"/>
  </r>
  <r>
    <x v="0"/>
    <x v="0"/>
    <x v="2"/>
    <n v="0.7"/>
    <x v="3"/>
    <s v="Late"/>
    <n v="1"/>
    <n v="-20.858999999999899"/>
    <x v="4"/>
    <d v="2024-03-04T00:00:00"/>
    <n v="73.396739510924803"/>
    <d v="2024-03-28T00:00:00"/>
    <d v="2024-03-28T00:00:00"/>
    <n v="880.76087413109701"/>
    <n v="0"/>
    <s v="On Time"/>
    <n v="73.396739510924746"/>
    <n v="0"/>
    <n v="1.1353819514139257E-3"/>
    <n v="0.7"/>
    <n v="0"/>
    <n v="21.034061458542418"/>
  </r>
  <r>
    <x v="1"/>
    <x v="1"/>
    <x v="2"/>
    <n v="0.75"/>
    <x v="2"/>
    <s v="Late"/>
    <n v="1"/>
    <n v="383.60160000000002"/>
    <x v="0"/>
    <d v="2023-09-06T00:00:00"/>
    <n v="6.5698577967349197"/>
    <d v="2023-09-29T00:00:00"/>
    <d v="2023-10-02T00:00:00"/>
    <n v="85.408151357553905"/>
    <n v="3"/>
    <s v="Late"/>
    <n v="6.5698577967349161"/>
    <n v="0.28369088885694055"/>
    <n v="1.1708484308641522E-2"/>
    <n v="0.75"/>
    <n v="0"/>
    <n v="28.525072306398052"/>
  </r>
  <r>
    <x v="2"/>
    <x v="4"/>
    <x v="2"/>
    <n v="0.71"/>
    <x v="3"/>
    <s v="Late"/>
    <n v="1"/>
    <n v="407.46"/>
    <x v="2"/>
    <d v="2022-05-18T00:00:00"/>
    <n v="65.943469203655098"/>
    <d v="2022-06-11T00:00:00"/>
    <d v="2022-06-08T00:00:00"/>
    <n v="461.60428442558498"/>
    <n v="-3"/>
    <s v="On Time"/>
    <n v="65.943469203654999"/>
    <n v="0.51611187110503109"/>
    <n v="2.1663577088423007E-3"/>
    <n v="0.71"/>
    <n v="0"/>
    <n v="31.687228153365886"/>
  </r>
  <r>
    <x v="3"/>
    <x v="5"/>
    <x v="3"/>
    <n v="0.74"/>
    <x v="2"/>
    <s v="Late"/>
    <n v="1"/>
    <n v="335.86"/>
    <x v="4"/>
    <d v="2022-07-24T00:00:00"/>
    <n v="26.399777908226898"/>
    <d v="2022-08-07T00:00:00"/>
    <d v="2022-08-10T00:00:00"/>
    <n v="395.99666862340302"/>
    <n v="3"/>
    <s v="Late"/>
    <n v="26.39977790822687"/>
    <n v="0.61886861986364472"/>
    <n v="2.525273769287717E-3"/>
    <n v="0.74"/>
    <n v="0"/>
    <n v="34.653130610351525"/>
  </r>
  <r>
    <x v="4"/>
    <x v="1"/>
    <x v="3"/>
    <n v="0.88"/>
    <x v="0"/>
    <s v="Late"/>
    <n v="1"/>
    <n v="10.2899999999999"/>
    <x v="6"/>
    <d v="2021-06-26T00:00:00"/>
    <n v="51.537475405087498"/>
    <d v="2021-07-06T00:00:00"/>
    <d v="2021-07-03T00:00:00"/>
    <n v="876.13708188648695"/>
    <n v="-3"/>
    <s v="On Time"/>
    <n v="51.53747540508747"/>
    <n v="6.7710732381390401E-2"/>
    <n v="1.1413739021829928E-3"/>
    <n v="0.88"/>
    <n v="0"/>
    <n v="27.788455864693301"/>
  </r>
  <r>
    <x v="5"/>
    <x v="1"/>
    <x v="2"/>
    <n v="0.72"/>
    <x v="2"/>
    <s v="Late"/>
    <n v="1"/>
    <n v="17.234399999999798"/>
    <x v="1"/>
    <d v="2024-02-02T00:00:00"/>
    <n v="36.551375621021897"/>
    <d v="2024-02-22T00:00:00"/>
    <d v="2024-02-25T00:00:00"/>
    <n v="328.96238058919698"/>
    <n v="3"/>
    <s v="Late"/>
    <n v="36.55137562102189"/>
    <n v="1.5789149659415039E-2"/>
    <n v="3.0398612698781025E-3"/>
    <n v="0.72"/>
    <n v="0"/>
    <n v="22.006978831284645"/>
  </r>
  <r>
    <x v="6"/>
    <x v="6"/>
    <x v="0"/>
    <n v="0.82"/>
    <x v="3"/>
    <s v="Late"/>
    <n v="1"/>
    <n v="556.44000000000005"/>
    <x v="1"/>
    <d v="2021-04-02T00:00:00"/>
    <n v="75.868877780141403"/>
    <d v="2021-04-23T00:00:00"/>
    <d v="2021-04-27T00:00:00"/>
    <n v="758.68877780141395"/>
    <n v="4"/>
    <s v="Late"/>
    <n v="75.868877780141389"/>
    <n v="0.86205614426473332"/>
    <n v="1.3180635186115131E-3"/>
    <n v="0.82"/>
    <n v="0"/>
    <n v="41.880664790853011"/>
  </r>
  <r>
    <x v="7"/>
    <x v="1"/>
    <x v="1"/>
    <n v="0.79"/>
    <x v="2"/>
    <s v="On Time"/>
    <n v="0"/>
    <n v="546.02160000000003"/>
    <x v="1"/>
    <d v="2022-11-12T00:00:00"/>
    <n v="12.653372532484999"/>
    <d v="2022-11-22T00:00:00"/>
    <d v="2022-11-27T00:00:00"/>
    <n v="227.76070558473"/>
    <n v="5"/>
    <s v="Late"/>
    <n v="12.653372532485001"/>
    <n v="0.42431143040448804"/>
    <n v="4.3905729806759256E-3"/>
    <n v="0.79"/>
    <n v="1"/>
    <n v="52.317945797510035"/>
  </r>
  <r>
    <x v="8"/>
    <x v="1"/>
    <x v="3"/>
    <n v="0.86"/>
    <x v="2"/>
    <s v="Late"/>
    <n v="1"/>
    <n v="32.97"/>
    <x v="2"/>
    <d v="2021-06-18T00:00:00"/>
    <n v="32.6735301654968"/>
    <d v="2021-07-03T00:00:00"/>
    <d v="2021-07-09T00:00:00"/>
    <n v="326.735301654968"/>
    <n v="6"/>
    <s v="Late"/>
    <n v="32.6735301654968"/>
    <n v="0.13430282292557741"/>
    <n v="3.060581439883709E-3"/>
    <n v="0.86"/>
    <n v="0"/>
    <n v="28.577873901708063"/>
  </r>
  <r>
    <x v="9"/>
    <x v="2"/>
    <x v="3"/>
    <n v="0.97"/>
    <x v="0"/>
    <s v="Late"/>
    <n v="1"/>
    <n v="-103.75360000000001"/>
    <x v="6"/>
    <d v="2023-12-26T00:00:00"/>
    <n v="5.0876208582025999"/>
    <d v="2024-01-07T00:00:00"/>
    <d v="2024-01-06T00:00:00"/>
    <n v="40.700966865620799"/>
    <n v="-1"/>
    <s v="On Time"/>
    <n v="5.0876208582025999"/>
    <n v="0"/>
    <n v="2.4569440900547201E-2"/>
    <n v="0.97"/>
    <n v="0"/>
    <n v="29.837083227016414"/>
  </r>
  <r>
    <x v="0"/>
    <x v="5"/>
    <x v="0"/>
    <n v="0.89"/>
    <x v="0"/>
    <s v="Late"/>
    <n v="1"/>
    <n v="307.89800000000002"/>
    <x v="2"/>
    <d v="2021-04-29T00:00:00"/>
    <n v="58.599790489647503"/>
    <d v="2021-05-20T00:00:00"/>
    <d v="2021-05-20T00:00:00"/>
    <n v="410.19853342753203"/>
    <n v="0"/>
    <s v="On Time"/>
    <n v="58.599790489647432"/>
    <n v="0.70325569072080185"/>
    <n v="2.4378439182710186E-3"/>
    <n v="0.89"/>
    <n v="0"/>
    <n v="40.838249131964169"/>
  </r>
  <r>
    <x v="1"/>
    <x v="4"/>
    <x v="0"/>
    <n v="0.68"/>
    <x v="2"/>
    <s v="Late"/>
    <n v="1"/>
    <n v="154.38200000000001"/>
    <x v="0"/>
    <d v="2022-06-01T00:00:00"/>
    <n v="69.283319977685693"/>
    <d v="2022-06-15T00:00:00"/>
    <d v="2022-06-20T00:00:00"/>
    <n v="762.11651975454299"/>
    <n v="5"/>
    <s v="Late"/>
    <n v="69.283319977685721"/>
    <n v="0.2632788864596799"/>
    <n v="1.3121353153741804E-3"/>
    <n v="0.68"/>
    <n v="0"/>
    <n v="25.704941788654821"/>
  </r>
  <r>
    <x v="2"/>
    <x v="3"/>
    <x v="2"/>
    <n v="0.61"/>
    <x v="3"/>
    <s v="Late"/>
    <n v="1"/>
    <n v="550.23149999999896"/>
    <x v="2"/>
    <d v="2022-04-29T00:00:00"/>
    <n v="15.7960853461518"/>
    <d v="2022-05-21T00:00:00"/>
    <d v="2022-05-21T00:00:00"/>
    <n v="142.164768115366"/>
    <n v="0"/>
    <s v="On Time"/>
    <n v="15.796085346151777"/>
    <n v="0.60093116062520668"/>
    <n v="7.0340915914448299E-3"/>
    <n v="0.61"/>
    <n v="0"/>
    <n v="30.529645960247475"/>
  </r>
  <r>
    <x v="3"/>
    <x v="6"/>
    <x v="2"/>
    <n v="0.7"/>
    <x v="2"/>
    <s v="Late"/>
    <n v="1"/>
    <n v="462.80399999999997"/>
    <x v="6"/>
    <d v="2022-12-06T00:00:00"/>
    <n v="49.689895957138098"/>
    <d v="2022-12-26T00:00:00"/>
    <d v="2022-12-31T00:00:00"/>
    <n v="496.898959571381"/>
    <n v="5"/>
    <s v="Late"/>
    <n v="49.689895957138098"/>
    <n v="0.31986696745513055"/>
    <n v="2.01248157344219E-3"/>
    <n v="0.7"/>
    <n v="0"/>
    <n v="27.457713796305878"/>
  </r>
  <r>
    <x v="4"/>
    <x v="2"/>
    <x v="1"/>
    <n v="0.83"/>
    <x v="3"/>
    <s v="Late"/>
    <n v="1"/>
    <n v="926.05520000000001"/>
    <x v="6"/>
    <d v="2022-05-30T00:00:00"/>
    <n v="19.815473449609399"/>
    <d v="2022-06-17T00:00:00"/>
    <d v="2022-06-19T00:00:00"/>
    <n v="277.41662829453202"/>
    <n v="2"/>
    <s v="Late"/>
    <n v="19.815473449609431"/>
    <n v="0.4486451143812128"/>
    <n v="3.6046865905179424E-3"/>
    <n v="0.83"/>
    <n v="0"/>
    <n v="33.981042885339789"/>
  </r>
  <r>
    <x v="5"/>
    <x v="7"/>
    <x v="1"/>
    <n v="0.62"/>
    <x v="0"/>
    <s v="Late"/>
    <n v="1"/>
    <n v="659.65559999999903"/>
    <x v="0"/>
    <d v="2023-07-01T00:00:00"/>
    <n v="13.3592082285743"/>
    <d v="2023-07-18T00:00:00"/>
    <d v="2023-07-22T00:00:00"/>
    <n v="66.7960411428719"/>
    <n v="4"/>
    <s v="Late"/>
    <n v="13.35920822857438"/>
    <n v="0.50694555236576611"/>
    <n v="1.4970947123364277E-2"/>
    <n v="0.62"/>
    <n v="0"/>
    <n v="29.188039461016253"/>
  </r>
  <r>
    <x v="6"/>
    <x v="5"/>
    <x v="2"/>
    <n v="0.79"/>
    <x v="0"/>
    <s v="Late"/>
    <n v="1"/>
    <n v="205"/>
    <x v="6"/>
    <d v="2023-12-05T00:00:00"/>
    <n v="49.238352650029498"/>
    <d v="2023-12-22T00:00:00"/>
    <d v="2023-12-25T00:00:00"/>
    <n v="246.19176325014701"/>
    <n v="3"/>
    <s v="Late"/>
    <n v="49.238352650029398"/>
    <n v="0.56786703601108035"/>
    <n v="4.061874316176591E-3"/>
    <n v="0.79"/>
    <n v="0"/>
    <n v="35.179196949706906"/>
  </r>
  <r>
    <x v="7"/>
    <x v="4"/>
    <x v="2"/>
    <n v="0.83"/>
    <x v="0"/>
    <s v="Late"/>
    <n v="1"/>
    <n v="505.76299999999998"/>
    <x v="6"/>
    <d v="2022-07-18T00:00:00"/>
    <n v="18.783316836702401"/>
    <d v="2022-08-08T00:00:00"/>
    <d v="2022-08-12T00:00:00"/>
    <n v="131.48321785691601"/>
    <n v="4"/>
    <s v="Late"/>
    <n v="18.783316836702287"/>
    <n v="0.78569642060980593"/>
    <n v="7.6055333623507001E-3"/>
    <n v="0.83"/>
    <n v="0"/>
    <n v="40.84209441306664"/>
  </r>
  <r>
    <x v="8"/>
    <x v="4"/>
    <x v="3"/>
    <n v="0.73"/>
    <x v="0"/>
    <s v="Late"/>
    <n v="1"/>
    <n v="288.856799999999"/>
    <x v="1"/>
    <d v="2024-03-19T00:00:00"/>
    <n v="35.692929575899598"/>
    <d v="2024-04-01T00:00:00"/>
    <d v="2024-04-05T00:00:00"/>
    <n v="606.77980279029396"/>
    <n v="4"/>
    <s v="Late"/>
    <n v="35.692929575899647"/>
    <n v="0.51868999785956571"/>
    <n v="1.6480443076738415E-3"/>
    <n v="0.73"/>
    <n v="0"/>
    <n v="32.323241286421535"/>
  </r>
  <r>
    <x v="9"/>
    <x v="7"/>
    <x v="2"/>
    <n v="0.9"/>
    <x v="0"/>
    <s v="Late"/>
    <n v="1"/>
    <n v="348.40159999999997"/>
    <x v="0"/>
    <d v="2022-01-31T00:00:00"/>
    <n v="43.473545214901499"/>
    <d v="2022-02-18T00:00:00"/>
    <d v="2022-02-24T00:00:00"/>
    <n v="304.31481650431101"/>
    <n v="6"/>
    <s v="Late"/>
    <n v="43.47354521490157"/>
    <n v="0.38003511490882685"/>
    <n v="3.2860706931298355E-3"/>
    <n v="0.9"/>
    <n v="0"/>
    <n v="34.699284418970436"/>
  </r>
  <r>
    <x v="2"/>
    <x v="3"/>
    <x v="3"/>
    <n v="0.64"/>
    <x v="2"/>
    <s v="Late"/>
    <n v="1"/>
    <n v="437.93299999999999"/>
    <x v="3"/>
    <d v="2021-10-08T00:00:00"/>
    <n v="10.554327408904101"/>
    <d v="2021-10-23T00:00:00"/>
    <d v="2021-10-28T00:00:00"/>
    <n v="94.988946680137502"/>
    <n v="5"/>
    <s v="Late"/>
    <n v="10.554327408904166"/>
    <n v="0.83196645788332824"/>
    <n v="1.0527540676573301E-2"/>
    <n v="0.64"/>
    <n v="0"/>
    <n v="36.155155377963766"/>
  </r>
  <r>
    <x v="3"/>
    <x v="1"/>
    <x v="0"/>
    <n v="0.63"/>
    <x v="0"/>
    <s v="Late"/>
    <n v="1"/>
    <n v="155.72819999999999"/>
    <x v="3"/>
    <d v="2024-04-03T00:00:00"/>
    <n v="48.124027527779603"/>
    <d v="2024-04-23T00:00:00"/>
    <d v="2024-04-20T00:00:00"/>
    <n v="529.36430280557602"/>
    <n v="-3"/>
    <s v="On Time"/>
    <n v="48.124027527779639"/>
    <n v="0.42196108906400126"/>
    <n v="1.8890582434442661E-3"/>
    <n v="0.63"/>
    <n v="0"/>
    <n v="27.395893528583354"/>
  </r>
  <r>
    <x v="4"/>
    <x v="2"/>
    <x v="2"/>
    <n v="0.88"/>
    <x v="0"/>
    <s v="Late"/>
    <n v="1"/>
    <n v="829.00159999999903"/>
    <x v="6"/>
    <d v="2023-12-29T00:00:00"/>
    <n v="46.078050505753602"/>
    <d v="2024-01-08T00:00:00"/>
    <d v="2024-01-08T00:00:00"/>
    <n v="368.62440404602899"/>
    <n v="0"/>
    <s v="On Time"/>
    <n v="46.078050505753623"/>
    <n v="0.4469200207706911"/>
    <n v="2.7127883803241986E-3"/>
    <n v="0.88"/>
    <n v="0"/>
    <n v="35.419784066823553"/>
  </r>
  <r>
    <x v="5"/>
    <x v="0"/>
    <x v="0"/>
    <n v="0.79"/>
    <x v="3"/>
    <s v="Late"/>
    <n v="1"/>
    <n v="-21.579499999999999"/>
    <x v="3"/>
    <d v="2023-03-20T00:00:00"/>
    <n v="59.780950518175601"/>
    <d v="2023-04-03T00:00:00"/>
    <d v="2023-04-02T00:00:00"/>
    <n v="657.59045569993202"/>
    <n v="-1"/>
    <s v="On Time"/>
    <n v="59.780950518175636"/>
    <n v="0"/>
    <n v="1.5207033364491446E-3"/>
    <n v="0.79"/>
    <n v="0"/>
    <n v="23.745621100093473"/>
  </r>
  <r>
    <x v="6"/>
    <x v="6"/>
    <x v="1"/>
    <n v="0.87"/>
    <x v="3"/>
    <s v="Late"/>
    <n v="1"/>
    <n v="372.92839999999899"/>
    <x v="3"/>
    <d v="2023-09-17T00:00:00"/>
    <n v="36.457850238253599"/>
    <d v="2023-10-08T00:00:00"/>
    <d v="2023-10-12T00:00:00"/>
    <n v="546.86775357380395"/>
    <n v="4"/>
    <s v="Late"/>
    <n v="36.457850238253599"/>
    <n v="0.62768990676089476"/>
    <n v="1.8285956585755104E-3"/>
    <n v="0.87"/>
    <n v="0"/>
    <n v="38.708656004975161"/>
  </r>
  <r>
    <x v="7"/>
    <x v="0"/>
    <x v="1"/>
    <n v="0.77"/>
    <x v="2"/>
    <s v="Late"/>
    <n v="1"/>
    <n v="257.20150000000001"/>
    <x v="6"/>
    <d v="2023-09-17T00:00:00"/>
    <n v="42.275857428671998"/>
    <d v="2023-10-05T00:00:00"/>
    <d v="2023-10-02T00:00:00"/>
    <n v="465.03443171539197"/>
    <n v="-3"/>
    <s v="On Time"/>
    <n v="42.275857428671998"/>
    <n v="0.22005575797087873"/>
    <n v="2.1503784059843873E-3"/>
    <n v="0.77"/>
    <n v="0"/>
    <n v="27.565626511597102"/>
  </r>
  <r>
    <x v="8"/>
    <x v="7"/>
    <x v="2"/>
    <n v="0.7"/>
    <x v="2"/>
    <s v="Late"/>
    <n v="1"/>
    <n v="138.47399999999999"/>
    <x v="3"/>
    <d v="2022-06-28T00:00:00"/>
    <n v="27.850782436200799"/>
    <d v="2022-07-20T00:00:00"/>
    <d v="2022-07-24T00:00:00"/>
    <n v="334.20938923441003"/>
    <n v="4"/>
    <s v="Late"/>
    <n v="27.850782436200834"/>
    <n v="0.21620887356666413"/>
    <n v="2.9921361643691384E-3"/>
    <n v="0.7"/>
    <n v="0"/>
    <n v="25.413941556264358"/>
  </r>
  <r>
    <x v="9"/>
    <x v="4"/>
    <x v="2"/>
    <n v="0.92"/>
    <x v="2"/>
    <s v="Late"/>
    <n v="1"/>
    <n v="300.73799999999898"/>
    <x v="2"/>
    <d v="2024-02-02T00:00:00"/>
    <n v="25.292413786323898"/>
    <d v="2024-02-18T00:00:00"/>
    <d v="2024-02-19T00:00:00"/>
    <n v="252.924137863239"/>
    <n v="1"/>
    <s v="Late"/>
    <n v="25.292413786323898"/>
    <n v="0.65970412487825347"/>
    <n v="3.9537547046645249E-3"/>
    <n v="0.92"/>
    <n v="0"/>
    <n v="40.912695138705011"/>
  </r>
  <r>
    <x v="0"/>
    <x v="3"/>
    <x v="0"/>
    <n v="0.91"/>
    <x v="2"/>
    <s v="Late"/>
    <n v="1"/>
    <n v="22.942399999999999"/>
    <x v="4"/>
    <d v="2023-05-24T00:00:00"/>
    <n v="12.512330918187301"/>
    <d v="2023-06-10T00:00:00"/>
    <d v="2023-06-11T00:00:00"/>
    <n v="150.14797101824701"/>
    <n v="1"/>
    <s v="Late"/>
    <n v="12.512330918187251"/>
    <n v="0.41069485020335678"/>
    <n v="6.660096658105844E-3"/>
    <n v="0.91"/>
    <n v="0"/>
    <n v="35.713699903810316"/>
  </r>
  <r>
    <x v="1"/>
    <x v="4"/>
    <x v="3"/>
    <n v="0.87"/>
    <x v="3"/>
    <s v="Late"/>
    <n v="1"/>
    <n v="668.4"/>
    <x v="0"/>
    <d v="2021-10-25T00:00:00"/>
    <n v="53.888898767440899"/>
    <d v="2021-11-16T00:00:00"/>
    <d v="2021-11-15T00:00:00"/>
    <n v="700.55568397673198"/>
    <n v="-1"/>
    <s v="On Time"/>
    <n v="53.888898767440921"/>
    <n v="0.833458027831812"/>
    <n v="1.4274382791721288E-3"/>
    <n v="0.87"/>
    <n v="0"/>
    <n v="42.811983705011407"/>
  </r>
  <r>
    <x v="2"/>
    <x v="6"/>
    <x v="1"/>
    <n v="0.71"/>
    <x v="3"/>
    <s v="Late"/>
    <n v="1"/>
    <n v="222.27119999999999"/>
    <x v="4"/>
    <d v="2022-01-29T00:00:00"/>
    <n v="6.7827651956306303"/>
    <d v="2022-02-10T00:00:00"/>
    <d v="2022-02-07T00:00:00"/>
    <n v="81.393182347567603"/>
    <n v="-3"/>
    <s v="On Time"/>
    <n v="6.7827651956306338"/>
    <n v="0.26779301291356067"/>
    <n v="1.2286041301712102E-2"/>
    <n v="0.71"/>
    <n v="0"/>
    <n v="27.024441497322577"/>
  </r>
  <r>
    <x v="3"/>
    <x v="4"/>
    <x v="1"/>
    <n v="0.83"/>
    <x v="3"/>
    <s v="Late"/>
    <n v="1"/>
    <n v="266.3768"/>
    <x v="6"/>
    <d v="2022-02-16T00:00:00"/>
    <n v="50.651614456048002"/>
    <d v="2022-03-12T00:00:00"/>
    <d v="2022-03-18T00:00:00"/>
    <n v="709.12260238467195"/>
    <n v="6"/>
    <s v="Late"/>
    <n v="50.651614456047994"/>
    <n v="0.51122411222730424"/>
    <n v="1.4101933807174549E-3"/>
    <n v="0.83"/>
    <n v="0"/>
    <n v="35.166788045967607"/>
  </r>
  <r>
    <x v="4"/>
    <x v="4"/>
    <x v="3"/>
    <n v="0.74"/>
    <x v="1"/>
    <s v="Late"/>
    <n v="1"/>
    <n v="466.92"/>
    <x v="1"/>
    <d v="2022-03-07T00:00:00"/>
    <n v="11.402181504704499"/>
    <d v="2022-03-27T00:00:00"/>
    <d v="2022-04-01T00:00:00"/>
    <n v="125.423996551749"/>
    <n v="5"/>
    <s v="Late"/>
    <n v="11.402181504704455"/>
    <n v="0.61064030131826741"/>
    <n v="7.9729559533482687E-3"/>
    <n v="0.74"/>
    <n v="0"/>
    <n v="34.651994704965801"/>
  </r>
  <r>
    <x v="5"/>
    <x v="6"/>
    <x v="0"/>
    <n v="0.64"/>
    <x v="3"/>
    <s v="Late"/>
    <n v="1"/>
    <n v="13.6999999999999"/>
    <x v="0"/>
    <d v="2023-10-12T00:00:00"/>
    <n v="4.0331991677761998"/>
    <d v="2023-10-25T00:00:00"/>
    <d v="2023-10-25T00:00:00"/>
    <n v="40.331991677761998"/>
    <n v="0"/>
    <s v="On Time"/>
    <n v="4.0331991677761998"/>
    <n v="3.0150974954883357E-2"/>
    <n v="2.4794213189113935E-2"/>
    <n v="0.64"/>
    <n v="0"/>
    <n v="20.546845894771089"/>
  </r>
  <r>
    <x v="6"/>
    <x v="2"/>
    <x v="0"/>
    <n v="0.96"/>
    <x v="3"/>
    <s v="Late"/>
    <n v="1"/>
    <n v="96.464399999999998"/>
    <x v="6"/>
    <d v="2021-03-16T00:00:00"/>
    <n v="42.076542859214698"/>
    <d v="2021-04-09T00:00:00"/>
    <d v="2021-04-06T00:00:00"/>
    <n v="420.76542859214698"/>
    <n v="-3"/>
    <s v="On Time"/>
    <n v="42.076542859214698"/>
    <n v="0.38172821684149544"/>
    <n v="2.3766211101181323E-3"/>
    <n v="0.96"/>
    <n v="0"/>
    <n v="36.50586297013345"/>
  </r>
  <r>
    <x v="7"/>
    <x v="2"/>
    <x v="2"/>
    <n v="0.65"/>
    <x v="2"/>
    <s v="Late"/>
    <n v="1"/>
    <n v="257.76479999999998"/>
    <x v="1"/>
    <d v="2021-02-06T00:00:00"/>
    <n v="26.857518562174"/>
    <d v="2021-02-24T00:00:00"/>
    <d v="2021-02-26T00:00:00"/>
    <n v="376.00525987043602"/>
    <n v="2"/>
    <s v="Late"/>
    <n v="26.857518562174"/>
    <n v="0.74069323181749214"/>
    <n v="2.6595372637728001E-3"/>
    <n v="0.65"/>
    <n v="0"/>
    <n v="34.393650754263028"/>
  </r>
  <r>
    <x v="8"/>
    <x v="6"/>
    <x v="2"/>
    <n v="0.97"/>
    <x v="1"/>
    <s v="Late"/>
    <n v="1"/>
    <n v="271.33800000000002"/>
    <x v="4"/>
    <d v="2024-03-12T00:00:00"/>
    <n v="25.344073491689699"/>
    <d v="2024-03-28T00:00:00"/>
    <d v="2024-03-28T00:00:00"/>
    <n v="202.75258793351699"/>
    <n v="0"/>
    <s v="On Time"/>
    <n v="25.344073491689624"/>
    <n v="0.42374183634268159"/>
    <n v="4.9321195363873837E-3"/>
    <n v="0.97"/>
    <n v="0"/>
    <n v="37.722800312945246"/>
  </r>
  <r>
    <x v="9"/>
    <x v="3"/>
    <x v="2"/>
    <n v="0.77"/>
    <x v="0"/>
    <s v="Late"/>
    <n v="1"/>
    <n v="106.834499999999"/>
    <x v="6"/>
    <d v="2023-02-18T00:00:00"/>
    <n v="24.570572844703499"/>
    <d v="2023-02-28T00:00:00"/>
    <d v="2023-03-02T00:00:00"/>
    <n v="221.135155602331"/>
    <n v="2"/>
    <s v="Late"/>
    <n v="24.570572844703445"/>
    <n v="0.15504731552171014"/>
    <n v="4.5221213120825868E-3"/>
    <n v="0.77"/>
    <n v="0"/>
    <n v="26.336609949796681"/>
  </r>
  <r>
    <x v="3"/>
    <x v="7"/>
    <x v="1"/>
    <n v="0.67"/>
    <x v="3"/>
    <s v="Late"/>
    <n v="1"/>
    <n v="498.762"/>
    <x v="0"/>
    <d v="2023-10-12T00:00:00"/>
    <n v="39.978393041893597"/>
    <d v="2023-11-01T00:00:00"/>
    <d v="2023-11-03T00:00:00"/>
    <n v="319.82714433514798"/>
    <n v="2"/>
    <s v="Late"/>
    <n v="39.978393041893497"/>
    <n v="0.30834371939820177"/>
    <n v="3.1266889559320721E-3"/>
    <n v="0.67"/>
    <n v="0"/>
    <n v="26.360675056642002"/>
  </r>
  <r>
    <x v="4"/>
    <x v="5"/>
    <x v="2"/>
    <n v="0.81"/>
    <x v="0"/>
    <s v="On Time"/>
    <n v="0"/>
    <n v="16.464099999999998"/>
    <x v="0"/>
    <d v="2022-03-13T00:00:00"/>
    <n v="21.251036846425901"/>
    <d v="2022-03-25T00:00:00"/>
    <d v="2022-03-30T00:00:00"/>
    <n v="170.00829477140701"/>
    <n v="5"/>
    <s v="Late"/>
    <n v="21.251036846425876"/>
    <n v="0.19391407482088613"/>
    <n v="5.882065938868448E-3"/>
    <n v="0.81"/>
    <n v="1"/>
    <n v="48.354743474583778"/>
  </r>
  <r>
    <x v="5"/>
    <x v="4"/>
    <x v="0"/>
    <n v="0.94"/>
    <x v="0"/>
    <s v="Late"/>
    <n v="1"/>
    <n v="442.67839999999899"/>
    <x v="5"/>
    <d v="2023-01-17T00:00:00"/>
    <n v="79.068555524821306"/>
    <d v="2023-01-27T00:00:00"/>
    <d v="2023-01-29T00:00:00"/>
    <n v="1027.8912218226701"/>
    <n v="2"/>
    <s v="Late"/>
    <n v="79.068555524820781"/>
    <n v="0.37096419530613345"/>
    <n v="9.7286559002497067E-4"/>
    <n v="0.94"/>
    <n v="0"/>
    <n v="35.648469873823416"/>
  </r>
  <r>
    <x v="6"/>
    <x v="3"/>
    <x v="3"/>
    <n v="0.89"/>
    <x v="2"/>
    <s v="On Time"/>
    <n v="0"/>
    <n v="639.545199999999"/>
    <x v="2"/>
    <d v="2023-01-11T00:00:00"/>
    <n v="59.902305245070899"/>
    <d v="2023-01-26T00:00:00"/>
    <d v="2023-02-01T00:00:00"/>
    <n v="838.632273430993"/>
    <n v="6"/>
    <s v="Late"/>
    <n v="59.902305245070927"/>
    <n v="0.42361976616517022"/>
    <n v="1.1924177397905557E-3"/>
    <n v="0.89"/>
    <n v="1"/>
    <n v="55.208167855497123"/>
  </r>
  <r>
    <x v="7"/>
    <x v="4"/>
    <x v="0"/>
    <n v="0.91"/>
    <x v="3"/>
    <s v="Late"/>
    <n v="1"/>
    <n v="200.72640000000001"/>
    <x v="3"/>
    <d v="2021-07-05T00:00:00"/>
    <n v="54.397913471026001"/>
    <d v="2021-07-23T00:00:00"/>
    <d v="2021-07-21T00:00:00"/>
    <n v="707.17287512333803"/>
    <n v="-2"/>
    <s v="On Time"/>
    <n v="54.397913471026001"/>
    <n v="0.37116128803209431"/>
    <n v="1.4140813868540843E-3"/>
    <n v="0.91"/>
    <n v="0"/>
    <n v="34.765648202247512"/>
  </r>
  <r>
    <x v="8"/>
    <x v="5"/>
    <x v="1"/>
    <n v="0.86"/>
    <x v="3"/>
    <s v="On Time"/>
    <n v="0"/>
    <n v="559.99999999999898"/>
    <x v="1"/>
    <d v="2024-02-08T00:00:00"/>
    <n v="28.456517276557399"/>
    <d v="2024-02-21T00:00:00"/>
    <d v="2024-02-21T00:00:00"/>
    <n v="341.47820731868899"/>
    <n v="0"/>
    <s v="On Time"/>
    <n v="28.456517276557417"/>
    <n v="0.5591891756952464"/>
    <n v="2.9284445641555596E-3"/>
    <n v="0.86"/>
    <n v="1"/>
    <n v="57.071636850829591"/>
  </r>
  <r>
    <x v="9"/>
    <x v="7"/>
    <x v="0"/>
    <n v="0.87"/>
    <x v="3"/>
    <s v="Late"/>
    <n v="1"/>
    <n v="48.9209999999999"/>
    <x v="5"/>
    <d v="2022-06-07T00:00:00"/>
    <n v="75.086877382308899"/>
    <d v="2022-06-23T00:00:00"/>
    <d v="2022-06-25T00:00:00"/>
    <n v="600.69501905847096"/>
    <n v="2"/>
    <s v="Late"/>
    <n v="75.08687738230887"/>
    <n v="0.12137067663017191"/>
    <n v="1.6647382919329004E-3"/>
    <n v="0.87"/>
    <n v="0"/>
    <n v="28.577355681361428"/>
  </r>
  <r>
    <x v="0"/>
    <x v="2"/>
    <x v="2"/>
    <n v="0.93"/>
    <x v="3"/>
    <s v="On Time"/>
    <n v="0"/>
    <n v="231.36179999999999"/>
    <x v="3"/>
    <d v="2021-08-24T00:00:00"/>
    <n v="71.215900409226904"/>
    <d v="2021-09-08T00:00:00"/>
    <d v="2021-09-12T00:00:00"/>
    <n v="854.59080491072302"/>
    <n v="4"/>
    <s v="Late"/>
    <n v="71.215900409226919"/>
    <n v="0.95006607211346161"/>
    <n v="1.1701506665572742E-3"/>
    <n v="0.93"/>
    <n v="1"/>
    <n v="66.936425962265972"/>
  </r>
  <r>
    <x v="1"/>
    <x v="3"/>
    <x v="1"/>
    <n v="0.7"/>
    <x v="1"/>
    <s v="Late"/>
    <n v="1"/>
    <n v="246.795999999999"/>
    <x v="3"/>
    <d v="2024-03-15T00:00:00"/>
    <n v="31.6864013368969"/>
    <d v="2024-04-07T00:00:00"/>
    <d v="2024-04-09T00:00:00"/>
    <n v="190.11840802138099"/>
    <n v="2"/>
    <s v="Late"/>
    <n v="31.686401336896832"/>
    <n v="0.21466196281451708"/>
    <n v="5.2598799369682212E-3"/>
    <n v="0.7"/>
    <n v="0"/>
    <n v="25.451035654399391"/>
  </r>
  <r>
    <x v="2"/>
    <x v="1"/>
    <x v="3"/>
    <n v="0.79"/>
    <x v="3"/>
    <s v="Late"/>
    <n v="1"/>
    <n v="585.77919999999995"/>
    <x v="6"/>
    <d v="2021-01-28T00:00:00"/>
    <n v="5.4271613118450404"/>
    <d v="2021-02-07T00:00:00"/>
    <d v="2021-02-07T00:00:00"/>
    <n v="48.844451806605399"/>
    <n v="0"/>
    <s v="On Time"/>
    <n v="5.4271613118450439"/>
    <n v="0.33225157725843807"/>
    <n v="2.047315432998199E-2"/>
    <n v="0.79"/>
    <n v="0"/>
    <n v="30.95922617506822"/>
  </r>
  <r>
    <x v="3"/>
    <x v="1"/>
    <x v="2"/>
    <n v="0.69"/>
    <x v="0"/>
    <s v="Late"/>
    <n v="1"/>
    <n v="591.19200000000001"/>
    <x v="3"/>
    <d v="2023-08-31T00:00:00"/>
    <n v="47.215328809881598"/>
    <d v="2023-09-22T00:00:00"/>
    <d v="2023-09-28T00:00:00"/>
    <n v="424.937959288934"/>
    <n v="6"/>
    <s v="Late"/>
    <n v="47.215328809881555"/>
    <n v="0.42428261393778632"/>
    <n v="2.3532847046033277E-3"/>
    <n v="0.69"/>
    <n v="0"/>
    <n v="29.256250819893825"/>
  </r>
  <r>
    <x v="4"/>
    <x v="5"/>
    <x v="1"/>
    <n v="0.99"/>
    <x v="2"/>
    <s v="Late"/>
    <n v="1"/>
    <n v="358.98239999999998"/>
    <x v="2"/>
    <d v="2024-03-14T00:00:00"/>
    <n v="30.043404107047401"/>
    <d v="2024-03-26T00:00:00"/>
    <d v="2024-03-26T00:00:00"/>
    <n v="420.60765749866403"/>
    <n v="0"/>
    <s v="On Time"/>
    <n v="30.043404107047429"/>
    <n v="0.82195454345627994"/>
    <n v="2.3775125872575829E-3"/>
    <n v="0.99"/>
    <n v="0"/>
    <n v="46.210416246743321"/>
  </r>
  <r>
    <x v="5"/>
    <x v="1"/>
    <x v="3"/>
    <n v="0.97"/>
    <x v="3"/>
    <s v="On Time"/>
    <n v="0"/>
    <n v="-1.2252000000000201"/>
    <x v="0"/>
    <d v="2021-01-26T00:00:00"/>
    <n v="52.861279343795601"/>
    <d v="2021-02-07T00:00:00"/>
    <d v="2021-02-07T00:00:00"/>
    <n v="581.47407278175103"/>
    <n v="0"/>
    <s v="On Time"/>
    <n v="52.861279343795552"/>
    <n v="0"/>
    <n v="1.7197671346136484E-3"/>
    <n v="0.97"/>
    <n v="1"/>
    <n v="49.151593014038411"/>
  </r>
  <r>
    <x v="6"/>
    <x v="2"/>
    <x v="2"/>
    <n v="0.62"/>
    <x v="1"/>
    <s v="Late"/>
    <n v="1"/>
    <n v="735.719999999999"/>
    <x v="5"/>
    <d v="2024-01-21T00:00:00"/>
    <n v="57.724041010399603"/>
    <d v="2024-02-11T00:00:00"/>
    <d v="2024-02-15T00:00:00"/>
    <n v="577.24041010399606"/>
    <n v="4"/>
    <s v="Late"/>
    <n v="57.724041010399603"/>
    <n v="0.67225877192982975"/>
    <n v="1.7323804475501625E-3"/>
    <n v="0.62"/>
    <n v="0"/>
    <n v="32.097146852023101"/>
  </r>
  <r>
    <x v="7"/>
    <x v="5"/>
    <x v="2"/>
    <n v="0.88"/>
    <x v="2"/>
    <s v="Late"/>
    <n v="1"/>
    <n v="3.1024000000000398"/>
    <x v="3"/>
    <d v="2024-01-29T00:00:00"/>
    <n v="76.788977503347496"/>
    <d v="2024-02-11T00:00:00"/>
    <d v="2024-02-09T00:00:00"/>
    <n v="1305.4126175568999"/>
    <n v="-2"/>
    <s v="On Time"/>
    <n v="76.788977503347056"/>
    <n v="1.1210425290812105E-2"/>
    <n v="7.660413164011817E-4"/>
    <n v="0.88"/>
    <n v="0"/>
    <n v="26.647189745308282"/>
  </r>
  <r>
    <x v="8"/>
    <x v="2"/>
    <x v="1"/>
    <n v="0.96"/>
    <x v="3"/>
    <s v="On Time"/>
    <n v="0"/>
    <n v="44.445999999999998"/>
    <x v="6"/>
    <d v="2023-01-04T00:00:00"/>
    <n v="53.134238372277302"/>
    <d v="2023-01-28T00:00:00"/>
    <d v="2023-01-30T00:00:00"/>
    <n v="743.87933721188301"/>
    <n v="2"/>
    <s v="Late"/>
    <n v="53.134238372277359"/>
    <n v="0.18955458127910746"/>
    <n v="1.3443040423035233E-3"/>
    <n v="0.96"/>
    <n v="1"/>
    <n v="52.631420746851255"/>
  </r>
  <r>
    <x v="9"/>
    <x v="7"/>
    <x v="2"/>
    <n v="0.67"/>
    <x v="1"/>
    <s v="Late"/>
    <n v="1"/>
    <n v="266.39399999999898"/>
    <x v="2"/>
    <d v="2022-01-12T00:00:00"/>
    <n v="6.50861244971518"/>
    <d v="2022-01-28T00:00:00"/>
    <d v="2022-01-29T00:00:00"/>
    <n v="97.629186745727694"/>
    <n v="1"/>
    <s v="Late"/>
    <n v="6.5086124497151792"/>
    <n v="0.22381461280208007"/>
    <n v="1.0242838574538884E-2"/>
    <n v="0.67"/>
    <n v="0"/>
    <n v="24.88357741327777"/>
  </r>
  <r>
    <x v="5"/>
    <x v="4"/>
    <x v="2"/>
    <n v="0.82"/>
    <x v="0"/>
    <s v="On Time"/>
    <n v="0"/>
    <n v="103.4592"/>
    <x v="4"/>
    <d v="2021-08-16T00:00:00"/>
    <n v="14.7381269177768"/>
    <d v="2021-09-07T00:00:00"/>
    <d v="2021-09-06T00:00:00"/>
    <n v="103.166888424438"/>
    <n v="-1"/>
    <s v="On Time"/>
    <n v="14.738126917776857"/>
    <n v="0.15331395431546702"/>
    <n v="9.6930324765239478E-3"/>
    <n v="0.82"/>
    <n v="1"/>
    <n v="47.957070060605055"/>
  </r>
  <r>
    <x v="6"/>
    <x v="7"/>
    <x v="2"/>
    <n v="0.96"/>
    <x v="0"/>
    <s v="Late"/>
    <n v="1"/>
    <n v="25.167599999999901"/>
    <x v="0"/>
    <d v="2024-01-10T00:00:00"/>
    <n v="48.4458753765295"/>
    <d v="2024-02-01T00:00:00"/>
    <d v="2024-02-02T00:00:00"/>
    <n v="387.567003012236"/>
    <n v="1"/>
    <s v="Late"/>
    <n v="48.4458753765295"/>
    <n v="7.848990605262568E-2"/>
    <n v="2.5801990164999386E-3"/>
    <n v="0.96"/>
    <n v="0"/>
    <n v="30.447204091547508"/>
  </r>
  <r>
    <x v="7"/>
    <x v="7"/>
    <x v="3"/>
    <n v="0.61"/>
    <x v="3"/>
    <s v="Late"/>
    <n v="1"/>
    <n v="111.189599999999"/>
    <x v="0"/>
    <d v="2022-03-14T00:00:00"/>
    <n v="34.675182619136002"/>
    <d v="2022-03-28T00:00:00"/>
    <d v="2022-03-27T00:00:00"/>
    <n v="208.051095714816"/>
    <n v="-1"/>
    <s v="On Time"/>
    <n v="34.675182619136002"/>
    <n v="9.3188428535221662E-2"/>
    <n v="4.8065115762271219E-3"/>
    <n v="0.61"/>
    <n v="0"/>
    <n v="20.307963917991245"/>
  </r>
  <r>
    <x v="8"/>
    <x v="2"/>
    <x v="0"/>
    <n v="0.87"/>
    <x v="0"/>
    <s v="Late"/>
    <n v="1"/>
    <n v="711.04199999999901"/>
    <x v="5"/>
    <d v="2022-01-16T00:00:00"/>
    <n v="43.703642658516102"/>
    <d v="2022-01-29T00:00:00"/>
    <d v="2022-01-28T00:00:00"/>
    <n v="742.96192519477495"/>
    <n v="-1"/>
    <s v="On Time"/>
    <n v="43.703642658516173"/>
    <n v="0.69437559692266138"/>
    <n v="1.3459639936970389E-3"/>
    <n v="0.87"/>
    <n v="0"/>
    <n v="40.027890858264144"/>
  </r>
  <r>
    <x v="9"/>
    <x v="5"/>
    <x v="1"/>
    <n v="0.72"/>
    <x v="1"/>
    <s v="Late"/>
    <n v="1"/>
    <n v="-17.0625"/>
    <x v="0"/>
    <d v="2022-10-22T00:00:00"/>
    <n v="41.102281377725099"/>
    <d v="2022-11-08T00:00:00"/>
    <d v="2022-11-12T00:00:00"/>
    <n v="534.32965791042704"/>
    <n v="4"/>
    <s v="Late"/>
    <n v="41.102281377725156"/>
    <n v="0"/>
    <n v="1.8715038276382481E-3"/>
    <n v="0.72"/>
    <n v="0"/>
    <n v="21.656145114829148"/>
  </r>
  <r>
    <x v="0"/>
    <x v="5"/>
    <x v="1"/>
    <n v="0.96"/>
    <x v="0"/>
    <s v="Late"/>
    <n v="1"/>
    <n v="1.4549999999999901"/>
    <x v="3"/>
    <d v="2022-11-02T00:00:00"/>
    <n v="50.536937532724302"/>
    <d v="2022-11-18T00:00:00"/>
    <d v="2022-11-22T00:00:00"/>
    <n v="758.05406299086496"/>
    <n v="4"/>
    <s v="Late"/>
    <n v="50.53693753272433"/>
    <n v="1.3507867984960219E-2"/>
    <n v="1.3191671264903577E-3"/>
    <n v="0.96"/>
    <n v="0"/>
    <n v="29.109732373493912"/>
  </r>
  <r>
    <x v="1"/>
    <x v="1"/>
    <x v="2"/>
    <n v="0.98"/>
    <x v="1"/>
    <s v="Late"/>
    <n v="1"/>
    <n v="980.21699999999998"/>
    <x v="6"/>
    <d v="2021-09-18T00:00:00"/>
    <n v="67.228871110197801"/>
    <d v="2021-10-07T00:00:00"/>
    <d v="2021-10-05T00:00:00"/>
    <n v="739.51758221217494"/>
    <n v="-2"/>
    <s v="On Time"/>
    <n v="67.228871110197716"/>
    <n v="0.85808040884607606"/>
    <n v="1.3522328935150186E-3"/>
    <n v="0.98"/>
    <n v="0"/>
    <n v="46.602175163726969"/>
  </r>
  <r>
    <x v="2"/>
    <x v="0"/>
    <x v="2"/>
    <n v="0.97"/>
    <x v="0"/>
    <s v="Late"/>
    <n v="1"/>
    <n v="-74.963399999999893"/>
    <x v="0"/>
    <d v="2024-01-11T00:00:00"/>
    <n v="63.8143981191946"/>
    <d v="2024-01-25T00:00:00"/>
    <d v="2024-01-22T00:00:00"/>
    <n v="701.95837931113999"/>
    <n v="-3"/>
    <s v="On Time"/>
    <n v="63.814398119194543"/>
    <n v="0"/>
    <n v="1.4245858863902163E-3"/>
    <n v="0.97"/>
    <n v="0"/>
    <n v="29.142737576591703"/>
  </r>
  <r>
    <x v="3"/>
    <x v="4"/>
    <x v="1"/>
    <n v="0.78"/>
    <x v="1"/>
    <s v="Late"/>
    <n v="1"/>
    <n v="225.958"/>
    <x v="0"/>
    <d v="2022-10-21T00:00:00"/>
    <n v="70.117298904078893"/>
    <d v="2022-11-13T00:00:00"/>
    <d v="2022-11-15T00:00:00"/>
    <n v="911.52488575302505"/>
    <n v="2"/>
    <s v="Late"/>
    <n v="70.117298904078851"/>
    <n v="0.75029718619462205"/>
    <n v="1.097062752350293E-3"/>
    <n v="0.78"/>
    <n v="0"/>
    <n v="38.438855606462951"/>
  </r>
  <r>
    <x v="4"/>
    <x v="2"/>
    <x v="2"/>
    <n v="0.94"/>
    <x v="3"/>
    <s v="Late"/>
    <n v="1"/>
    <n v="-5.9323999999999097"/>
    <x v="4"/>
    <d v="2021-09-11T00:00:00"/>
    <n v="48.819483468943602"/>
    <d v="2021-09-21T00:00:00"/>
    <d v="2021-09-27T00:00:00"/>
    <n v="537.01431815837998"/>
    <n v="6"/>
    <s v="Late"/>
    <n v="48.819483468943638"/>
    <n v="0"/>
    <n v="1.8621477420366901E-3"/>
    <n v="0.94"/>
    <n v="0"/>
    <n v="28.255864432261095"/>
  </r>
  <r>
    <x v="5"/>
    <x v="1"/>
    <x v="3"/>
    <n v="0.93"/>
    <x v="3"/>
    <s v="Late"/>
    <n v="1"/>
    <n v="463.83749999999998"/>
    <x v="4"/>
    <d v="2023-03-22T00:00:00"/>
    <n v="14.495859713456801"/>
    <d v="2023-04-10T00:00:00"/>
    <d v="2023-04-10T00:00:00"/>
    <n v="231.93375541530801"/>
    <n v="0"/>
    <s v="On Time"/>
    <n v="14.495859713456751"/>
    <n v="0.40566600854033696"/>
    <n v="4.3115759420588344E-3"/>
    <n v="0.93"/>
    <n v="0"/>
    <n v="36.142667449068512"/>
  </r>
  <r>
    <x v="6"/>
    <x v="3"/>
    <x v="1"/>
    <n v="0.72"/>
    <x v="0"/>
    <s v="On Time"/>
    <n v="0"/>
    <n v="297.20879999999897"/>
    <x v="1"/>
    <d v="2022-12-02T00:00:00"/>
    <n v="27.077180287142699"/>
    <d v="2022-12-18T00:00:00"/>
    <d v="2022-12-17T00:00:00"/>
    <n v="189.540262009999"/>
    <n v="-1"/>
    <s v="On Time"/>
    <n v="27.077180287142713"/>
    <n v="0.18685340388789365"/>
    <n v="5.2759239087009704E-3"/>
    <n v="0.72"/>
    <n v="1"/>
    <n v="45.495345795018906"/>
  </r>
  <r>
    <x v="7"/>
    <x v="0"/>
    <x v="2"/>
    <n v="0.92"/>
    <x v="2"/>
    <s v="Late"/>
    <n v="1"/>
    <n v="418.8528"/>
    <x v="2"/>
    <d v="2022-08-02T00:00:00"/>
    <n v="11.066622934667199"/>
    <d v="2022-08-16T00:00:00"/>
    <d v="2022-08-15T00:00:00"/>
    <n v="77.466360542670699"/>
    <n v="-1"/>
    <s v="On Time"/>
    <n v="11.066622934667242"/>
    <n v="0.40800286150458104"/>
    <n v="1.2908828980666663E-2"/>
    <n v="0.92"/>
    <n v="0"/>
    <n v="36.147322099511626"/>
  </r>
  <r>
    <x v="8"/>
    <x v="0"/>
    <x v="1"/>
    <n v="0.61"/>
    <x v="3"/>
    <s v="Late"/>
    <n v="1"/>
    <n v="4.48799999999994"/>
    <x v="3"/>
    <d v="2022-11-14T00:00:00"/>
    <n v="16.589292096598701"/>
    <d v="2022-12-05T00:00:00"/>
    <d v="2022-12-06T00:00:00"/>
    <n v="149.303628869389"/>
    <n v="1"/>
    <s v="Late"/>
    <n v="16.589292096598779"/>
    <n v="6.2347361489667758E-3"/>
    <n v="6.6977608486314903E-3"/>
    <n v="0.61"/>
    <n v="0"/>
    <n v="18.625627548438278"/>
  </r>
  <r>
    <x v="9"/>
    <x v="2"/>
    <x v="0"/>
    <n v="0.83"/>
    <x v="2"/>
    <s v="On Time"/>
    <n v="0"/>
    <n v="316.34399999999903"/>
    <x v="0"/>
    <d v="2022-09-01T00:00:00"/>
    <n v="32.408639151119999"/>
    <d v="2022-09-25T00:00:00"/>
    <d v="2022-10-01T00:00:00"/>
    <n v="291.67775236007998"/>
    <n v="6"/>
    <s v="Late"/>
    <n v="32.408639151119999"/>
    <n v="0.21167156461274045"/>
    <n v="3.4284411200669394E-3"/>
    <n v="0.83"/>
    <n v="1"/>
    <n v="49.236284525856817"/>
  </r>
  <r>
    <x v="3"/>
    <x v="6"/>
    <x v="2"/>
    <n v="0.69"/>
    <x v="0"/>
    <s v="Late"/>
    <n v="1"/>
    <n v="102.07640000000001"/>
    <x v="0"/>
    <d v="2022-08-25T00:00:00"/>
    <n v="3.7887073851331001"/>
    <d v="2022-09-08T00:00:00"/>
    <d v="2022-09-06T00:00:00"/>
    <n v="53.041903391863499"/>
    <n v="-2"/>
    <s v="On Time"/>
    <n v="3.7887073851331072"/>
    <n v="0.11445641823993728"/>
    <n v="1.885301876541251E-2"/>
    <n v="0.69"/>
    <n v="0"/>
    <n v="23.554718927761119"/>
  </r>
  <r>
    <x v="4"/>
    <x v="4"/>
    <x v="1"/>
    <n v="0.65"/>
    <x v="2"/>
    <s v="Late"/>
    <n v="1"/>
    <n v="116.822999999999"/>
    <x v="6"/>
    <d v="2022-02-21T00:00:00"/>
    <n v="17.309328475460799"/>
    <d v="2022-03-11T00:00:00"/>
    <d v="2022-03-14T00:00:00"/>
    <n v="173.09328475460899"/>
    <n v="3"/>
    <s v="Late"/>
    <n v="17.309328475460898"/>
    <n v="0.17616296691713526"/>
    <n v="5.777231632166902E-3"/>
    <n v="0.65"/>
    <n v="0"/>
    <n v="23.196576287307714"/>
  </r>
  <r>
    <x v="5"/>
    <x v="0"/>
    <x v="2"/>
    <n v="0.63"/>
    <x v="2"/>
    <s v="On Time"/>
    <n v="0"/>
    <n v="-39.743200000000101"/>
    <x v="1"/>
    <d v="2022-02-25T00:00:00"/>
    <n v="33.026294012227197"/>
    <d v="2022-03-08T00:00:00"/>
    <d v="2022-03-12T00:00:00"/>
    <n v="396.31552814672602"/>
    <n v="4"/>
    <s v="Late"/>
    <n v="33.026294012227169"/>
    <n v="0"/>
    <n v="2.5232420356483603E-3"/>
    <n v="0.63"/>
    <n v="1"/>
    <n v="38.975697261069456"/>
  </r>
  <r>
    <x v="6"/>
    <x v="2"/>
    <x v="2"/>
    <n v="0.87"/>
    <x v="1"/>
    <s v="Late"/>
    <n v="1"/>
    <n v="324.15519999999998"/>
    <x v="2"/>
    <d v="2021-05-26T00:00:00"/>
    <n v="41.792235215139101"/>
    <d v="2021-06-13T00:00:00"/>
    <d v="2021-06-10T00:00:00"/>
    <n v="585.09129301194798"/>
    <n v="-3"/>
    <s v="On Time"/>
    <n v="41.792235215139144"/>
    <n v="0.85215376008950694"/>
    <n v="1.7091349878959475E-3"/>
    <n v="0.87"/>
    <n v="0"/>
    <n v="43.19434925142702"/>
  </r>
  <r>
    <x v="7"/>
    <x v="2"/>
    <x v="2"/>
    <n v="0.73"/>
    <x v="3"/>
    <s v="On Time"/>
    <n v="0"/>
    <n v="338.30639999999897"/>
    <x v="1"/>
    <d v="2022-06-08T00:00:00"/>
    <n v="52.826505972564"/>
    <d v="2022-06-30T00:00:00"/>
    <d v="2022-07-02T00:00:00"/>
    <n v="528.26505972563996"/>
    <n v="2"/>
    <s v="Late"/>
    <n v="52.826505972563993"/>
    <n v="0.24597904935076648"/>
    <n v="1.8929891000539778E-3"/>
    <n v="0.73"/>
    <n v="1"/>
    <n v="46.876370660016953"/>
  </r>
  <r>
    <x v="8"/>
    <x v="1"/>
    <x v="1"/>
    <n v="0.88"/>
    <x v="1"/>
    <s v="Late"/>
    <n v="1"/>
    <n v="208.71"/>
    <x v="5"/>
    <d v="2023-06-17T00:00:00"/>
    <n v="45.601261999225599"/>
    <d v="2023-07-08T00:00:00"/>
    <d v="2023-07-09T00:00:00"/>
    <n v="729.62019198761004"/>
    <n v="1"/>
    <s v="Late"/>
    <n v="45.601261999225628"/>
    <n v="0.78159757330637014"/>
    <n v="1.3705761038161912E-3"/>
    <n v="0.88"/>
    <n v="0"/>
    <n v="42.073068749241891"/>
  </r>
  <r>
    <x v="9"/>
    <x v="3"/>
    <x v="0"/>
    <n v="0.63"/>
    <x v="0"/>
    <s v="Late"/>
    <n v="1"/>
    <n v="546.34559999999999"/>
    <x v="2"/>
    <d v="2023-09-20T00:00:00"/>
    <n v="77.289739205282302"/>
    <d v="2023-10-03T00:00:00"/>
    <d v="2023-10-07T00:00:00"/>
    <n v="927.47687046338694"/>
    <n v="4"/>
    <s v="Late"/>
    <n v="77.289739205282245"/>
    <n v="0.85797417529542119"/>
    <n v="1.0781940033721584E-3"/>
    <n v="0.63"/>
    <n v="0"/>
    <n v="36.091829326009588"/>
  </r>
  <r>
    <x v="0"/>
    <x v="6"/>
    <x v="2"/>
    <n v="0.72"/>
    <x v="0"/>
    <s v="On Time"/>
    <n v="0"/>
    <n v="185.896199999999"/>
    <x v="0"/>
    <d v="2022-09-04T00:00:00"/>
    <n v="31.769971857536198"/>
    <d v="2022-09-18T00:00:00"/>
    <d v="2022-09-20T00:00:00"/>
    <n v="285.92974671782503"/>
    <n v="2"/>
    <s v="Late"/>
    <n v="31.769971857536113"/>
    <n v="0.17925892325574877"/>
    <n v="3.4973625916119465E-3"/>
    <n v="0.72"/>
    <n v="1"/>
    <n v="45.290099342863336"/>
  </r>
  <r>
    <x v="1"/>
    <x v="4"/>
    <x v="1"/>
    <n v="0.81"/>
    <x v="2"/>
    <s v="Late"/>
    <n v="1"/>
    <n v="760.66139999999905"/>
    <x v="0"/>
    <d v="2023-01-02T00:00:00"/>
    <n v="65.874561942966196"/>
    <d v="2023-01-21T00:00:00"/>
    <d v="2023-01-20T00:00:00"/>
    <n v="526.99649554373002"/>
    <n v="-1"/>
    <s v="On Time"/>
    <n v="65.874561942966253"/>
    <n v="0.53181152152236855"/>
    <n v="1.8975458251733674E-3"/>
    <n v="0.81"/>
    <n v="0"/>
    <n v="34.993156805202574"/>
  </r>
  <r>
    <x v="2"/>
    <x v="5"/>
    <x v="2"/>
    <n v="0.91"/>
    <x v="1"/>
    <s v="Late"/>
    <n v="1"/>
    <n v="55.1039999999999"/>
    <x v="2"/>
    <d v="2024-02-21T00:00:00"/>
    <n v="29.971612972115899"/>
    <d v="2024-03-14T00:00:00"/>
    <d v="2024-03-11T00:00:00"/>
    <n v="419.60258160962201"/>
    <n v="-3"/>
    <s v="On Time"/>
    <n v="29.971612972115857"/>
    <n v="0.22479133861479805"/>
    <n v="2.3832074535002547E-3"/>
    <n v="0.91"/>
    <n v="0"/>
    <n v="31.86732299590097"/>
  </r>
  <r>
    <x v="3"/>
    <x v="7"/>
    <x v="3"/>
    <n v="0.72"/>
    <x v="2"/>
    <s v="Late"/>
    <n v="1"/>
    <n v="321.10079999999903"/>
    <x v="0"/>
    <d v="2021-06-19T00:00:00"/>
    <n v="38.070077385744497"/>
    <d v="2021-07-05T00:00:00"/>
    <d v="2021-07-04T00:00:00"/>
    <n v="304.56061908595598"/>
    <n v="-1"/>
    <s v="On Time"/>
    <n v="38.070077385744497"/>
    <n v="0.18070427557294019"/>
    <n v="3.2834185949621101E-3"/>
    <n v="0.72"/>
    <n v="0"/>
    <n v="25.312588069307669"/>
  </r>
  <r>
    <x v="4"/>
    <x v="3"/>
    <x v="2"/>
    <n v="0.84"/>
    <x v="1"/>
    <s v="Late"/>
    <n v="1"/>
    <n v="36.724999999999902"/>
    <x v="3"/>
    <d v="2021-08-10T00:00:00"/>
    <n v="39.390142597548703"/>
    <d v="2021-08-29T00:00:00"/>
    <d v="2021-08-28T00:00:00"/>
    <n v="590.85213896323103"/>
    <n v="-1"/>
    <s v="On Time"/>
    <n v="39.390142597548738"/>
    <n v="0.30854862423860452"/>
    <n v="1.6924708130103435E-3"/>
    <n v="0.84"/>
    <n v="0"/>
    <n v="31.421746609162405"/>
  </r>
  <r>
    <x v="5"/>
    <x v="3"/>
    <x v="3"/>
    <n v="0.95"/>
    <x v="2"/>
    <s v="Late"/>
    <n v="1"/>
    <n v="131.744"/>
    <x v="2"/>
    <d v="2021-01-22T00:00:00"/>
    <n v="50.315470850313702"/>
    <d v="2021-02-09T00:00:00"/>
    <d v="2021-02-06T00:00:00"/>
    <n v="704.41659190439202"/>
    <n v="-3"/>
    <s v="On Time"/>
    <n v="50.315470850313716"/>
    <n v="0.67166979362101309"/>
    <n v="1.4196144887736069E-3"/>
    <n v="0.95"/>
    <n v="0"/>
    <n v="41.975984307083472"/>
  </r>
  <r>
    <x v="6"/>
    <x v="1"/>
    <x v="1"/>
    <n v="0.84"/>
    <x v="1"/>
    <s v="Late"/>
    <n v="1"/>
    <n v="552.50599999999997"/>
    <x v="1"/>
    <d v="2022-08-16T00:00:00"/>
    <n v="77.195450147392506"/>
    <d v="2022-08-28T00:00:00"/>
    <d v="2022-08-28T00:00:00"/>
    <n v="1235.1272023582801"/>
    <n v="0"/>
    <s v="On Time"/>
    <n v="77.195450147392506"/>
    <n v="0.47228547787078068"/>
    <n v="8.096332087016286E-4"/>
    <n v="0.84"/>
    <n v="0"/>
    <n v="34.66999855367667"/>
  </r>
  <r>
    <x v="7"/>
    <x v="5"/>
    <x v="0"/>
    <n v="0.69"/>
    <x v="0"/>
    <s v="Late"/>
    <n v="1"/>
    <n v="-131.2448"/>
    <x v="2"/>
    <d v="2022-07-29T00:00:00"/>
    <n v="14.7382098616036"/>
    <d v="2022-08-16T00:00:00"/>
    <d v="2022-08-13T00:00:00"/>
    <n v="176.85851833924301"/>
    <n v="-3"/>
    <s v="On Time"/>
    <n v="14.738209861603584"/>
    <n v="0"/>
    <n v="5.6542371234946098E-3"/>
    <n v="0.69"/>
    <n v="0"/>
    <n v="20.869627113704837"/>
  </r>
  <r>
    <x v="8"/>
    <x v="0"/>
    <x v="2"/>
    <n v="0.61"/>
    <x v="3"/>
    <s v="Late"/>
    <n v="1"/>
    <n v="137.94839999999999"/>
    <x v="0"/>
    <d v="2021-10-07T00:00:00"/>
    <n v="78.085507760598603"/>
    <d v="2021-10-30T00:00:00"/>
    <d v="2021-11-04T00:00:00"/>
    <n v="937.026093127183"/>
    <n v="5"/>
    <s v="Late"/>
    <n v="78.085507760598588"/>
    <n v="0.20171185825055696"/>
    <n v="1.0672061400794626E-3"/>
    <n v="0.61"/>
    <n v="0"/>
    <n v="22.366253349213522"/>
  </r>
  <r>
    <x v="9"/>
    <x v="0"/>
    <x v="2"/>
    <n v="0.94"/>
    <x v="3"/>
    <s v="Late"/>
    <n v="1"/>
    <n v="201.5872"/>
    <x v="3"/>
    <d v="2022-03-13T00:00:00"/>
    <n v="12.585993675620101"/>
    <d v="2022-03-30T00:00:00"/>
    <d v="2022-04-02T00:00:00"/>
    <n v="201.37589880992201"/>
    <n v="3"/>
    <s v="Late"/>
    <n v="12.585993675620125"/>
    <n v="0.7701599100200498"/>
    <n v="4.9658375501226018E-3"/>
    <n v="0.94"/>
    <n v="0"/>
    <n v="43.752173326904668"/>
  </r>
  <r>
    <x v="3"/>
    <x v="1"/>
    <x v="2"/>
    <n v="0.61"/>
    <x v="2"/>
    <s v="Late"/>
    <n v="1"/>
    <n v="169.06559999999899"/>
    <x v="3"/>
    <d v="2023-04-05T00:00:00"/>
    <n v="18.802838040088599"/>
    <d v="2023-04-21T00:00:00"/>
    <d v="2023-04-27T00:00:00"/>
    <n v="263.239732561241"/>
    <n v="6"/>
    <s v="Late"/>
    <n v="18.802838040088641"/>
    <n v="0.40874065821844541"/>
    <n v="3.7988186292027804E-3"/>
    <n v="0.61"/>
    <n v="0"/>
    <n v="26.588777723244995"/>
  </r>
  <r>
    <x v="4"/>
    <x v="2"/>
    <x v="1"/>
    <n v="0.94"/>
    <x v="3"/>
    <s v="Late"/>
    <n v="1"/>
    <n v="498.2525"/>
    <x v="5"/>
    <d v="2023-01-22T00:00:00"/>
    <n v="66.149728384119797"/>
    <d v="2023-02-14T00:00:00"/>
    <d v="2023-02-16T00:00:00"/>
    <n v="595.34755545707799"/>
    <n v="2"/>
    <s v="Late"/>
    <n v="66.149728384119783"/>
    <n v="0.61725837073101231"/>
    <n v="1.679691116279549E-3"/>
    <n v="0.94"/>
    <n v="0"/>
    <n v="40.59555814810863"/>
  </r>
  <r>
    <x v="5"/>
    <x v="0"/>
    <x v="2"/>
    <n v="0.81"/>
    <x v="2"/>
    <s v="Late"/>
    <n v="1"/>
    <n v="449.0684"/>
    <x v="1"/>
    <d v="2023-07-30T00:00:00"/>
    <n v="47.518660310161799"/>
    <d v="2023-08-21T00:00:00"/>
    <d v="2023-08-21T00:00:00"/>
    <n v="380.14928248129399"/>
    <n v="0"/>
    <s v="On Time"/>
    <n v="47.518660310161749"/>
    <n v="0.90554707280618763"/>
    <n v="2.6305455411433191E-3"/>
    <n v="0.81"/>
    <n v="0"/>
    <n v="42.489857822358054"/>
  </r>
  <r>
    <x v="6"/>
    <x v="6"/>
    <x v="2"/>
    <n v="0.97"/>
    <x v="3"/>
    <s v="Late"/>
    <n v="1"/>
    <n v="20.403199999999899"/>
    <x v="4"/>
    <d v="2022-09-19T00:00:00"/>
    <n v="54.918716620008603"/>
    <d v="2022-10-04T00:00:00"/>
    <d v="2022-10-01T00:00:00"/>
    <n v="549.18716620008604"/>
    <n v="-3"/>
    <s v="On Time"/>
    <n v="54.918716620008603"/>
    <n v="0.3826327002130393"/>
    <n v="1.8208728490856044E-3"/>
    <n v="0.97"/>
    <n v="0"/>
    <n v="36.807280189733348"/>
  </r>
  <r>
    <x v="7"/>
    <x v="4"/>
    <x v="1"/>
    <n v="0.91"/>
    <x v="1"/>
    <s v="Late"/>
    <n v="1"/>
    <n v="149.45070000000001"/>
    <x v="4"/>
    <d v="2023-07-20T00:00:00"/>
    <n v="42.339841424274901"/>
    <d v="2023-08-01T00:00:00"/>
    <d v="2023-07-30T00:00:00"/>
    <n v="465.73825566702402"/>
    <n v="-2"/>
    <s v="On Time"/>
    <n v="42.339841424274908"/>
    <n v="0.43095359823663093"/>
    <n v="2.1471287527536544E-3"/>
    <n v="0.91"/>
    <n v="0"/>
    <n v="35.983485827315235"/>
  </r>
  <r>
    <x v="8"/>
    <x v="3"/>
    <x v="2"/>
    <n v="0.99"/>
    <x v="1"/>
    <s v="Late"/>
    <n v="1"/>
    <n v="1052.4204"/>
    <x v="2"/>
    <d v="2023-12-07T00:00:00"/>
    <n v="58.114799571113601"/>
    <d v="2023-12-30T00:00:00"/>
    <d v="2023-12-27T00:00:00"/>
    <n v="639.26279528224995"/>
    <n v="-3"/>
    <s v="On Time"/>
    <n v="58.114799571113629"/>
    <n v="0.41835088989666402"/>
    <n v="1.5643018917728129E-3"/>
    <n v="0.99"/>
    <n v="0"/>
    <n v="38.113946854686468"/>
  </r>
  <r>
    <x v="9"/>
    <x v="0"/>
    <x v="0"/>
    <n v="0.75"/>
    <x v="2"/>
    <s v="Late"/>
    <n v="1"/>
    <n v="493.44779999999997"/>
    <x v="0"/>
    <d v="2022-08-03T00:00:00"/>
    <n v="40.013936114012601"/>
    <d v="2022-08-20T00:00:00"/>
    <d v="2022-08-22T00:00:00"/>
    <n v="520.181169482163"/>
    <n v="2"/>
    <s v="Late"/>
    <n v="40.013936114012537"/>
    <n v="0.47962137103993491"/>
    <n v="1.9224071509460704E-3"/>
    <n v="0.75"/>
    <n v="0"/>
    <n v="32.150099635327081"/>
  </r>
  <r>
    <x v="0"/>
    <x v="1"/>
    <x v="1"/>
    <n v="0.8"/>
    <x v="1"/>
    <s v="Late"/>
    <n v="1"/>
    <n v="750.20640000000003"/>
    <x v="1"/>
    <d v="2021-07-26T00:00:00"/>
    <n v="69.901405882081093"/>
    <d v="2021-08-17T00:00:00"/>
    <d v="2021-08-23T00:00:00"/>
    <n v="1118.42249411329"/>
    <n v="6"/>
    <s v="Late"/>
    <n v="69.901405882080624"/>
    <n v="0.54023514934904449"/>
    <n v="8.9411649467299216E-4"/>
    <n v="0.8"/>
    <n v="0"/>
    <n v="34.831526481821079"/>
  </r>
  <r>
    <x v="1"/>
    <x v="2"/>
    <x v="2"/>
    <n v="0.62"/>
    <x v="2"/>
    <s v="Late"/>
    <n v="1"/>
    <n v="616.19439999999895"/>
    <x v="2"/>
    <d v="2023-09-21T00:00:00"/>
    <n v="56.6807387262647"/>
    <d v="2023-10-11T00:00:00"/>
    <d v="2023-10-08T00:00:00"/>
    <n v="736.84960344144099"/>
    <n v="-3"/>
    <s v="On Time"/>
    <n v="56.680738726264693"/>
    <n v="0.34449780239489219"/>
    <n v="1.3571290468631868E-3"/>
    <n v="0.62"/>
    <n v="0"/>
    <n v="25.53066991930374"/>
  </r>
  <r>
    <x v="2"/>
    <x v="0"/>
    <x v="2"/>
    <n v="0.66"/>
    <x v="0"/>
    <s v="On Time"/>
    <n v="0"/>
    <n v="446.39679999999998"/>
    <x v="0"/>
    <d v="2024-03-15T00:00:00"/>
    <n v="51.676431950130201"/>
    <d v="2024-03-31T00:00:00"/>
    <d v="2024-03-28T00:00:00"/>
    <n v="723.470047301823"/>
    <n v="-3"/>
    <s v="On Time"/>
    <n v="51.676431950130215"/>
    <n v="0.4236562862540012"/>
    <n v="1.382227230732625E-3"/>
    <n v="0.66"/>
    <n v="1"/>
    <n v="48.314592542002003"/>
  </r>
  <r>
    <x v="3"/>
    <x v="3"/>
    <x v="2"/>
    <n v="0.89"/>
    <x v="0"/>
    <s v="Late"/>
    <n v="1"/>
    <n v="35.941600000000101"/>
    <x v="3"/>
    <d v="2024-01-29T00:00:00"/>
    <n v="79.468743755321597"/>
    <d v="2024-02-10T00:00:00"/>
    <d v="2024-02-14T00:00:00"/>
    <n v="317.87497502128599"/>
    <n v="4"/>
    <s v="Late"/>
    <n v="79.468743755321498"/>
    <n v="3.1962248875412984E-2"/>
    <n v="3.1458909275039236E-3"/>
    <n v="0.89"/>
    <n v="0"/>
    <n v="27.433621705333376"/>
  </r>
  <r>
    <x v="4"/>
    <x v="0"/>
    <x v="3"/>
    <n v="0.63"/>
    <x v="1"/>
    <s v="Late"/>
    <n v="1"/>
    <n v="14.2549999999999"/>
    <x v="2"/>
    <d v="2023-10-29T00:00:00"/>
    <n v="40.883506299131099"/>
    <d v="2023-11-19T00:00:00"/>
    <d v="2023-11-19T00:00:00"/>
    <n v="408.83506299131102"/>
    <n v="0"/>
    <s v="On Time"/>
    <n v="40.883506299131099"/>
    <n v="4.8893004750389803E-2"/>
    <n v="2.4459741605412475E-3"/>
    <n v="0.63"/>
    <n v="0"/>
    <n v="19.951239319824033"/>
  </r>
  <r>
    <x v="5"/>
    <x v="1"/>
    <x v="3"/>
    <n v="0.84"/>
    <x v="1"/>
    <s v="On Time"/>
    <n v="0"/>
    <n v="646.53499999999894"/>
    <x v="2"/>
    <d v="2021-02-09T00:00:00"/>
    <n v="7.4139567874671002"/>
    <d v="2021-03-03T00:00:00"/>
    <d v="2021-03-01T00:00:00"/>
    <n v="96.381438237072302"/>
    <n v="-2"/>
    <s v="On Time"/>
    <n v="7.4139567874671002"/>
    <n v="0.63884648258212939"/>
    <n v="1.0375441768572389E-2"/>
    <n v="0.84"/>
    <n v="1"/>
    <n v="58.288192904699756"/>
  </r>
  <r>
    <x v="6"/>
    <x v="0"/>
    <x v="2"/>
    <n v="0.7"/>
    <x v="1"/>
    <s v="On Time"/>
    <n v="0"/>
    <n v="320.952799999999"/>
    <x v="0"/>
    <d v="2023-03-27T00:00:00"/>
    <n v="10.486540991330401"/>
    <d v="2023-04-06T00:00:00"/>
    <d v="2023-04-06T00:00:00"/>
    <n v="104.86540991330401"/>
    <n v="0"/>
    <s v="On Time"/>
    <n v="10.486540991330401"/>
    <n v="0.42293359308700879"/>
    <n v="9.5360329094859395E-3"/>
    <n v="0.7"/>
    <n v="1"/>
    <n v="49.744752849024756"/>
  </r>
  <r>
    <x v="7"/>
    <x v="1"/>
    <x v="2"/>
    <n v="0.75"/>
    <x v="1"/>
    <s v="Late"/>
    <n v="1"/>
    <n v="176.12"/>
    <x v="4"/>
    <d v="2022-12-30T00:00:00"/>
    <n v="58.466127720452"/>
    <d v="2023-01-14T00:00:00"/>
    <d v="2023-01-12T00:00:00"/>
    <n v="467.729021763616"/>
    <n v="-2"/>
    <s v="On Time"/>
    <n v="58.466127720452"/>
    <n v="0.53029025653378292"/>
    <n v="2.137990061487753E-3"/>
    <n v="0.75"/>
    <n v="0"/>
    <n v="33.169944832520287"/>
  </r>
  <r>
    <x v="8"/>
    <x v="4"/>
    <x v="2"/>
    <n v="0.71"/>
    <x v="1"/>
    <s v="Late"/>
    <n v="1"/>
    <n v="140.62439999999901"/>
    <x v="3"/>
    <d v="2021-08-08T00:00:00"/>
    <n v="6.7526584253754596"/>
    <d v="2021-08-25T00:00:00"/>
    <d v="2021-08-28T00:00:00"/>
    <n v="40.515950552252797"/>
    <n v="3"/>
    <s v="Late"/>
    <n v="6.7526584253754658"/>
    <n v="0.32315235345538151"/>
    <n v="2.4681637388966487E-2"/>
    <n v="0.71"/>
    <n v="0"/>
    <n v="28.503496190776623"/>
  </r>
  <r>
    <x v="9"/>
    <x v="5"/>
    <x v="3"/>
    <n v="0.74"/>
    <x v="1"/>
    <s v="Late"/>
    <n v="1"/>
    <n v="474.42149999999998"/>
    <x v="0"/>
    <d v="2023-04-06T00:00:00"/>
    <n v="59.665750097340499"/>
    <d v="2023-04-21T00:00:00"/>
    <d v="2023-04-23T00:00:00"/>
    <n v="1073.98350175212"/>
    <n v="2"/>
    <s v="Late"/>
    <n v="59.665750097340002"/>
    <n v="0.70105870731164888"/>
    <n v="9.3111299975146575E-4"/>
    <n v="0.74"/>
    <n v="0"/>
    <n v="36.249107536225523"/>
  </r>
  <r>
    <x v="7"/>
    <x v="1"/>
    <x v="3"/>
    <n v="0.88"/>
    <x v="0"/>
    <s v="Late"/>
    <n v="1"/>
    <n v="132.81"/>
    <x v="3"/>
    <d v="2023-03-19T00:00:00"/>
    <n v="15.490176966638399"/>
    <d v="2023-04-08T00:00:00"/>
    <d v="2023-04-13T00:00:00"/>
    <n v="232.352654499576"/>
    <n v="5"/>
    <s v="Late"/>
    <n v="15.490176966638399"/>
    <n v="0.68870566272557565"/>
    <n v="4.3038027783832561E-3"/>
    <n v="0.88"/>
    <n v="0"/>
    <n v="40.303227337863014"/>
  </r>
  <r>
    <x v="8"/>
    <x v="1"/>
    <x v="2"/>
    <n v="0.72"/>
    <x v="2"/>
    <s v="Late"/>
    <n v="1"/>
    <n v="36.816499999999998"/>
    <x v="3"/>
    <d v="2023-11-24T00:00:00"/>
    <n v="3.1006453743756701"/>
    <d v="2023-12-07T00:00:00"/>
    <d v="2023-12-04T00:00:00"/>
    <n v="24.805162995005301"/>
    <n v="-3"/>
    <s v="On Time"/>
    <n v="3.1006453743756626"/>
    <n v="0.38989584491641643"/>
    <n v="4.0314187824581411E-2"/>
    <n v="0.72"/>
    <n v="0"/>
    <n v="30.607342533065772"/>
  </r>
  <r>
    <x v="9"/>
    <x v="6"/>
    <x v="0"/>
    <n v="0.82"/>
    <x v="0"/>
    <s v="Late"/>
    <n v="1"/>
    <n v="301.85610000000003"/>
    <x v="2"/>
    <d v="2022-05-30T00:00:00"/>
    <n v="13.274904997916201"/>
    <d v="2022-06-09T00:00:00"/>
    <d v="2022-06-12T00:00:00"/>
    <n v="106.19923998332899"/>
    <n v="3"/>
    <s v="Late"/>
    <n v="13.274904997916124"/>
    <n v="0.37749655745353988"/>
    <n v="9.416263244039963E-3"/>
    <n v="0.82"/>
    <n v="0"/>
    <n v="32.432419046391992"/>
  </r>
  <r>
    <x v="0"/>
    <x v="1"/>
    <x v="1"/>
    <n v="0.79"/>
    <x v="2"/>
    <s v="Late"/>
    <n v="1"/>
    <n v="484.38"/>
    <x v="1"/>
    <d v="2021-08-01T00:00:00"/>
    <n v="28.413350876486501"/>
    <d v="2021-08-11T00:00:00"/>
    <d v="2021-08-15T00:00:00"/>
    <n v="369.37356139432399"/>
    <n v="4"/>
    <s v="Late"/>
    <n v="28.413350876486462"/>
    <n v="0.44352268981430615"/>
    <n v="2.7072863477969719E-3"/>
    <n v="0.79"/>
    <n v="0"/>
    <n v="32.65167238672003"/>
  </r>
  <r>
    <x v="1"/>
    <x v="1"/>
    <x v="3"/>
    <n v="0.86"/>
    <x v="2"/>
    <s v="Late"/>
    <n v="1"/>
    <n v="604.5"/>
    <x v="3"/>
    <d v="2021-01-17T00:00:00"/>
    <n v="45.796911271827703"/>
    <d v="2021-02-06T00:00:00"/>
    <d v="2021-02-12T00:00:00"/>
    <n v="549.56293526193201"/>
    <n v="6"/>
    <s v="Late"/>
    <n v="45.796911271827668"/>
    <n v="0.70890796509991549"/>
    <n v="1.8196278093670587E-3"/>
    <n v="0.86"/>
    <n v="0"/>
    <n v="40.032748136279324"/>
  </r>
  <r>
    <x v="2"/>
    <x v="2"/>
    <x v="3"/>
    <n v="0.97"/>
    <x v="0"/>
    <s v="Late"/>
    <n v="1"/>
    <n v="311.30799999999999"/>
    <x v="5"/>
    <d v="2023-10-29T00:00:00"/>
    <n v="62.007797204232197"/>
    <d v="2023-11-11T00:00:00"/>
    <d v="2023-11-14T00:00:00"/>
    <n v="868.10916085925101"/>
    <n v="3"/>
    <s v="Late"/>
    <n v="62.007797204232212"/>
    <n v="0.37610848270162905"/>
    <n v="1.1519288645798923E-3"/>
    <n v="0.97"/>
    <n v="0"/>
    <n v="36.656727519969976"/>
  </r>
  <r>
    <x v="3"/>
    <x v="5"/>
    <x v="0"/>
    <n v="0.89"/>
    <x v="0"/>
    <s v="Late"/>
    <n v="1"/>
    <n v="21.132000000000101"/>
    <x v="2"/>
    <d v="2022-10-21T00:00:00"/>
    <n v="54.5676062196017"/>
    <d v="2022-11-05T00:00:00"/>
    <d v="2022-11-03T00:00:00"/>
    <n v="873.08169951362697"/>
    <n v="-2"/>
    <s v="On Time"/>
    <n v="54.567606219601686"/>
    <n v="3.3183526951016298E-2"/>
    <n v="1.1453681832491462E-3"/>
    <n v="0.89"/>
    <n v="0"/>
    <n v="27.398031584517803"/>
  </r>
  <r>
    <x v="4"/>
    <x v="4"/>
    <x v="0"/>
    <n v="0.68"/>
    <x v="3"/>
    <s v="Late"/>
    <n v="1"/>
    <n v="441.9"/>
    <x v="4"/>
    <d v="2021-02-12T00:00:00"/>
    <n v="18.335071763589202"/>
    <d v="2021-02-28T00:00:00"/>
    <d v="2021-03-05T00:00:00"/>
    <n v="165.015645872303"/>
    <n v="5"/>
    <s v="Late"/>
    <n v="18.335071763589223"/>
    <n v="0.57651663405088061"/>
    <n v="6.0600314274068768E-3"/>
    <n v="0.68"/>
    <n v="0"/>
    <n v="32.112133623839824"/>
  </r>
  <r>
    <x v="5"/>
    <x v="3"/>
    <x v="2"/>
    <n v="0.61"/>
    <x v="2"/>
    <s v="Late"/>
    <n v="1"/>
    <n v="675.27719999999999"/>
    <x v="1"/>
    <d v="2022-06-14T00:00:00"/>
    <n v="79.2843615776967"/>
    <d v="2022-06-30T00:00:00"/>
    <d v="2022-07-05T00:00:00"/>
    <n v="713.55925419926996"/>
    <n v="5"/>
    <s v="Late"/>
    <n v="79.284361577696657"/>
    <n v="0.82933720051110404"/>
    <n v="1.4014253113739845E-3"/>
    <n v="0.61"/>
    <n v="0"/>
    <n v="34.928786769563303"/>
  </r>
  <r>
    <x v="6"/>
    <x v="6"/>
    <x v="2"/>
    <n v="0.7"/>
    <x v="1"/>
    <s v="Late"/>
    <n v="1"/>
    <n v="562.67399999999998"/>
    <x v="5"/>
    <d v="2023-11-05T00:00:00"/>
    <n v="42.930627967548602"/>
    <d v="2023-11-20T00:00:00"/>
    <d v="2023-11-19T00:00:00"/>
    <n v="214.653139837743"/>
    <n v="-1"/>
    <s v="On Time"/>
    <n v="42.930627967548602"/>
    <n v="0.39369196151198133"/>
    <n v="4.658678651315808E-3"/>
    <n v="0.7"/>
    <n v="0"/>
    <n v="29.013599589779098"/>
  </r>
  <r>
    <x v="7"/>
    <x v="2"/>
    <x v="1"/>
    <n v="0.83"/>
    <x v="2"/>
    <s v="Late"/>
    <n v="1"/>
    <n v="4.1814000000000204"/>
    <x v="5"/>
    <d v="2022-03-19T00:00:00"/>
    <n v="40.441281418788002"/>
    <d v="2022-03-30T00:00:00"/>
    <d v="2022-04-01T00:00:00"/>
    <n v="363.97153276909199"/>
    <n v="2"/>
    <s v="Late"/>
    <n v="40.441281418788002"/>
    <n v="2.109140212881231E-2"/>
    <n v="2.7474676175689057E-3"/>
    <n v="0.83"/>
    <n v="0"/>
    <n v="25.404252071103311"/>
  </r>
  <r>
    <x v="8"/>
    <x v="7"/>
    <x v="1"/>
    <n v="0.62"/>
    <x v="3"/>
    <s v="Late"/>
    <n v="1"/>
    <n v="54.955999999999896"/>
    <x v="4"/>
    <d v="2023-01-24T00:00:00"/>
    <n v="24.5000992382977"/>
    <d v="2023-02-14T00:00:00"/>
    <d v="2023-02-16T00:00:00"/>
    <n v="196.000793906382"/>
    <n v="2"/>
    <s v="Late"/>
    <n v="24.50009923829775"/>
    <n v="0.27379979672771559"/>
    <n v="5.1020201503757219E-3"/>
    <n v="0.62"/>
    <n v="0"/>
    <n v="24.229056539065581"/>
  </r>
  <r>
    <x v="9"/>
    <x v="5"/>
    <x v="2"/>
    <n v="0.79"/>
    <x v="3"/>
    <s v="Late"/>
    <n v="1"/>
    <n v="180.756"/>
    <x v="1"/>
    <d v="2022-05-16T00:00:00"/>
    <n v="15.4106319368172"/>
    <d v="2022-06-05T00:00:00"/>
    <d v="2022-06-06T00:00:00"/>
    <n v="184.92758324180599"/>
    <n v="1"/>
    <s v="Late"/>
    <n v="15.410631936817166"/>
    <n v="0.31065418247813892"/>
    <n v="5.4075221363404117E-3"/>
    <n v="0.79"/>
    <n v="0"/>
    <n v="30.075309313652987"/>
  </r>
  <r>
    <x v="0"/>
    <x v="4"/>
    <x v="2"/>
    <n v="0.83"/>
    <x v="2"/>
    <s v="Late"/>
    <n v="1"/>
    <n v="471.14400000000001"/>
    <x v="2"/>
    <d v="2022-04-23T00:00:00"/>
    <n v="70.376306790458699"/>
    <d v="2022-05-16T00:00:00"/>
    <d v="2022-05-17T00:00:00"/>
    <n v="1055.6446018568799"/>
    <n v="1"/>
    <s v="Late"/>
    <n v="70.376306790458656"/>
    <n v="0.65995427956700059"/>
    <n v="9.4728850812195598E-4"/>
    <n v="0.83"/>
    <n v="0"/>
    <n v="38.127504246583669"/>
  </r>
  <r>
    <x v="1"/>
    <x v="4"/>
    <x v="3"/>
    <n v="0.73"/>
    <x v="3"/>
    <s v="On Time"/>
    <n v="0"/>
    <n v="390.9"/>
    <x v="6"/>
    <d v="2021-06-03T00:00:00"/>
    <n v="3.7641489462887798"/>
    <d v="2021-06-23T00:00:00"/>
    <d v="2021-06-21T00:00:00"/>
    <n v="33.877340516598998"/>
    <n v="-2"/>
    <s v="On Time"/>
    <n v="3.7641489462887776"/>
    <n v="0.68550084175084169"/>
    <n v="2.9518255705757852E-2"/>
    <n v="0.73"/>
    <n v="1"/>
    <n v="56.495564506189581"/>
  </r>
  <r>
    <x v="2"/>
    <x v="7"/>
    <x v="2"/>
    <n v="0.9"/>
    <x v="2"/>
    <s v="On Time"/>
    <n v="0"/>
    <n v="635.36"/>
    <x v="1"/>
    <d v="2023-11-23T00:00:00"/>
    <n v="35.874447734499299"/>
    <d v="2023-12-14T00:00:00"/>
    <d v="2023-12-15T00:00:00"/>
    <n v="645.74005922098797"/>
    <n v="1"/>
    <s v="Late"/>
    <n v="35.874447734499334"/>
    <n v="0.38047331608699819"/>
    <n v="1.5486107540027584E-3"/>
    <n v="0.9"/>
    <n v="1"/>
    <n v="54.655924644360056"/>
  </r>
  <r>
    <x v="3"/>
    <x v="3"/>
    <x v="3"/>
    <n v="0.64"/>
    <x v="3"/>
    <s v="Late"/>
    <n v="1"/>
    <n v="263.26319999999902"/>
    <x v="4"/>
    <d v="2022-10-28T00:00:00"/>
    <n v="44.928217988180698"/>
    <d v="2022-11-14T00:00:00"/>
    <d v="2022-11-14T00:00:00"/>
    <n v="359.42574390544598"/>
    <n v="0"/>
    <s v="On Time"/>
    <n v="44.928217988180748"/>
    <n v="0.3213571100037198"/>
    <n v="2.7822158455713449E-3"/>
    <n v="0.64"/>
    <n v="0"/>
    <n v="25.710608675441538"/>
  </r>
  <r>
    <x v="4"/>
    <x v="1"/>
    <x v="0"/>
    <n v="0.63"/>
    <x v="1"/>
    <s v="Late"/>
    <n v="1"/>
    <n v="145.45679999999899"/>
    <x v="5"/>
    <d v="2022-01-31T00:00:00"/>
    <n v="6.1297057151461498"/>
    <d v="2022-02-17T00:00:00"/>
    <d v="2022-02-18T00:00:00"/>
    <n v="85.815880012046094"/>
    <n v="1"/>
    <s v="Late"/>
    <n v="6.1297057151461498"/>
    <n v="0.2478236157623768"/>
    <n v="1.165285492451547E-2"/>
    <n v="0.63"/>
    <n v="0"/>
    <n v="24.206057962983003"/>
  </r>
  <r>
    <x v="5"/>
    <x v="2"/>
    <x v="2"/>
    <n v="0.88"/>
    <x v="0"/>
    <s v="Late"/>
    <n v="1"/>
    <n v="-76.881600000000006"/>
    <x v="2"/>
    <d v="2021-03-13T00:00:00"/>
    <n v="17.703870518930799"/>
    <d v="2021-03-31T00:00:00"/>
    <d v="2021-04-05T00:00:00"/>
    <n v="300.96579882182402"/>
    <n v="5"/>
    <s v="Late"/>
    <n v="17.703870518930824"/>
    <n v="0"/>
    <n v="3.3226366713914029E-3"/>
    <n v="0.88"/>
    <n v="0"/>
    <n v="26.499679100141744"/>
  </r>
  <r>
    <x v="6"/>
    <x v="0"/>
    <x v="0"/>
    <n v="0.79"/>
    <x v="3"/>
    <s v="Late"/>
    <n v="1"/>
    <n v="639.527999999999"/>
    <x v="1"/>
    <d v="2021-07-10T00:00:00"/>
    <n v="7.4214887223685899"/>
    <d v="2021-07-26T00:00:00"/>
    <d v="2021-07-29T00:00:00"/>
    <n v="81.6363759460545"/>
    <n v="3"/>
    <s v="Late"/>
    <n v="7.4214887223685908"/>
    <n v="0.51207794453946154"/>
    <n v="1.2249441360072159E-2"/>
    <n v="0.79"/>
    <n v="0"/>
    <n v="34.309042131591397"/>
  </r>
  <r>
    <x v="7"/>
    <x v="6"/>
    <x v="1"/>
    <n v="0.87"/>
    <x v="1"/>
    <s v="Late"/>
    <n v="1"/>
    <n v="76.166399999999797"/>
    <x v="6"/>
    <d v="2022-04-28T00:00:00"/>
    <n v="79.004608350252894"/>
    <d v="2022-05-22T00:00:00"/>
    <d v="2022-05-26T00:00:00"/>
    <n v="1027.0599085532799"/>
    <n v="4"/>
    <s v="Late"/>
    <n v="79.004608350252298"/>
    <n v="7.5546435729827291E-2"/>
    <n v="9.7365303783359964E-4"/>
    <n v="0.87"/>
    <n v="0"/>
    <n v="27.640138305731554"/>
  </r>
  <r>
    <x v="8"/>
    <x v="0"/>
    <x v="1"/>
    <n v="0.77"/>
    <x v="0"/>
    <s v="Late"/>
    <n v="1"/>
    <n v="440.04239999999999"/>
    <x v="6"/>
    <d v="2023-02-22T00:00:00"/>
    <n v="57.363984403978698"/>
    <d v="2023-03-05T00:00:00"/>
    <d v="2023-03-09T00:00:00"/>
    <n v="860.45976605967996"/>
    <n v="4"/>
    <s v="Late"/>
    <n v="57.363984403978662"/>
    <n v="0.89058948104684377"/>
    <n v="1.1621693883251732E-3"/>
    <n v="0.77"/>
    <n v="0"/>
    <n v="40.946654702586628"/>
  </r>
  <r>
    <x v="9"/>
    <x v="7"/>
    <x v="2"/>
    <n v="0.7"/>
    <x v="3"/>
    <s v="Late"/>
    <n v="1"/>
    <n v="26.554499999999901"/>
    <x v="3"/>
    <d v="2023-12-30T00:00:00"/>
    <n v="57.390769986272801"/>
    <d v="2024-01-18T00:00:00"/>
    <d v="2024-01-21T00:00:00"/>
    <n v="401.73538990390898"/>
    <n v="3"/>
    <s v="Late"/>
    <n v="57.390769986272709"/>
    <n v="0.39088386607688141"/>
    <n v="2.4892006657396795E-3"/>
    <n v="0.7"/>
    <n v="0"/>
    <n v="28.892353341509818"/>
  </r>
  <r>
    <x v="2"/>
    <x v="4"/>
    <x v="2"/>
    <n v="0.92"/>
    <x v="3"/>
    <s v="Late"/>
    <n v="1"/>
    <n v="290.64640000000003"/>
    <x v="3"/>
    <d v="2024-01-24T00:00:00"/>
    <n v="66.2739350437148"/>
    <d v="2024-02-06T00:00:00"/>
    <d v="2024-02-03T00:00:00"/>
    <n v="729.01328548086201"/>
    <n v="-3"/>
    <s v="On Time"/>
    <n v="66.273935043714729"/>
    <n v="0.36330509355925156"/>
    <n v="1.3717171139623243E-3"/>
    <n v="0.92"/>
    <n v="0"/>
    <n v="34.907253384603905"/>
  </r>
  <r>
    <x v="3"/>
    <x v="3"/>
    <x v="0"/>
    <n v="0.91"/>
    <x v="0"/>
    <s v="Late"/>
    <n v="1"/>
    <n v="891.81629999999996"/>
    <x v="0"/>
    <d v="2021-11-08T00:00:00"/>
    <n v="65.332537158843607"/>
    <d v="2021-11-25T00:00:00"/>
    <d v="2021-11-24T00:00:00"/>
    <n v="653.32537158843604"/>
    <n v="-1"/>
    <s v="On Time"/>
    <n v="65.332537158843607"/>
    <n v="0.66709460774050477"/>
    <n v="1.5306308976929684E-3"/>
    <n v="0.91"/>
    <n v="0"/>
    <n v="40.68781108174089"/>
  </r>
  <r>
    <x v="4"/>
    <x v="4"/>
    <x v="3"/>
    <n v="0.87"/>
    <x v="1"/>
    <s v="Late"/>
    <n v="1"/>
    <n v="353.78399999999999"/>
    <x v="4"/>
    <d v="2022-08-11T00:00:00"/>
    <n v="13.002941919474701"/>
    <d v="2022-09-03T00:00:00"/>
    <d v="2022-09-03T00:00:00"/>
    <n v="130.02941919474699"/>
    <n v="0"/>
    <s v="On Time"/>
    <n v="13.002941919474699"/>
    <n v="0.78447128944707578"/>
    <n v="7.6905673054055955E-3"/>
    <n v="0.87"/>
    <n v="0"/>
    <n v="42.020142808103685"/>
  </r>
  <r>
    <x v="5"/>
    <x v="6"/>
    <x v="1"/>
    <n v="0.71"/>
    <x v="1"/>
    <s v="Late"/>
    <n v="1"/>
    <n v="220.298"/>
    <x v="1"/>
    <d v="2021-07-15T00:00:00"/>
    <n v="72.135650986559497"/>
    <d v="2021-08-05T00:00:00"/>
    <d v="2021-08-05T00:00:00"/>
    <n v="721.35650986559494"/>
    <n v="0"/>
    <s v="On Time"/>
    <n v="72.135650986559497"/>
    <n v="0.26236946911086551"/>
    <n v="1.3862770853573119E-3"/>
    <n v="0.71"/>
    <n v="0"/>
    <n v="26.588977694778027"/>
  </r>
  <r>
    <x v="6"/>
    <x v="4"/>
    <x v="1"/>
    <n v="0.83"/>
    <x v="1"/>
    <s v="Late"/>
    <n v="1"/>
    <n v="677.74949999999899"/>
    <x v="1"/>
    <d v="2021-03-29T00:00:00"/>
    <n v="13.5759056428774"/>
    <d v="2021-04-15T00:00:00"/>
    <d v="2021-04-14T00:00:00"/>
    <n v="162.91086771452899"/>
    <n v="-1"/>
    <s v="On Time"/>
    <n v="13.575905642877416"/>
    <n v="0.72529280608529301"/>
    <n v="6.138325908080694E-3"/>
    <n v="0.83"/>
    <n v="0"/>
    <n v="39.590005898948277"/>
  </r>
  <r>
    <x v="7"/>
    <x v="4"/>
    <x v="3"/>
    <n v="0.74"/>
    <x v="2"/>
    <s v="Late"/>
    <n v="1"/>
    <n v="-1.71800000000001"/>
    <x v="0"/>
    <d v="2021-08-02T00:00:00"/>
    <n v="75.044877032064207"/>
    <d v="2021-08-25T00:00:00"/>
    <d v="2021-08-30T00:00:00"/>
    <n v="675.40389328857805"/>
    <n v="5"/>
    <s v="Late"/>
    <n v="75.044877032064221"/>
    <n v="0"/>
    <n v="1.4805955516941811E-3"/>
    <n v="0.74"/>
    <n v="0"/>
    <n v="22.244417866550826"/>
  </r>
  <r>
    <x v="8"/>
    <x v="6"/>
    <x v="0"/>
    <n v="0.64"/>
    <x v="2"/>
    <s v="Late"/>
    <n v="1"/>
    <n v="125.015"/>
    <x v="5"/>
    <d v="2021-09-24T00:00:00"/>
    <n v="5.6356369719246002"/>
    <d v="2021-10-17T00:00:00"/>
    <d v="2021-10-18T00:00:00"/>
    <n v="33.8138218315476"/>
    <n v="1"/>
    <s v="Late"/>
    <n v="5.6356369719246002"/>
    <n v="0.39168167932952141"/>
    <n v="2.9573705243428609E-2"/>
    <n v="0.64"/>
    <n v="0"/>
    <n v="27.920844743893287"/>
  </r>
  <r>
    <x v="9"/>
    <x v="2"/>
    <x v="0"/>
    <n v="0.96"/>
    <x v="3"/>
    <s v="On Time"/>
    <n v="0"/>
    <n v="409.76149999999899"/>
    <x v="5"/>
    <d v="2023-08-02T00:00:00"/>
    <n v="54.2246642174632"/>
    <d v="2023-08-25T00:00:00"/>
    <d v="2023-08-22T00:00:00"/>
    <n v="867.594627479412"/>
    <n v="-3"/>
    <s v="On Time"/>
    <n v="54.22466421746325"/>
    <n v="0.32031097629374616"/>
    <n v="1.1526120244719127E-3"/>
    <n v="0.96"/>
    <n v="1"/>
    <n v="55.240797886609073"/>
  </r>
  <r>
    <x v="0"/>
    <x v="2"/>
    <x v="2"/>
    <n v="0.65"/>
    <x v="0"/>
    <s v="Late"/>
    <n v="1"/>
    <n v="967.33799999999997"/>
    <x v="0"/>
    <d v="2023-05-19T00:00:00"/>
    <n v="12.8278653284436"/>
    <d v="2023-06-03T00:00:00"/>
    <d v="2023-06-04T00:00:00"/>
    <n v="192.417979926654"/>
    <n v="1"/>
    <s v="Late"/>
    <n v="12.8278653284436"/>
    <n v="0.67517211920196984"/>
    <n v="5.1970195320685756E-3"/>
    <n v="0.65"/>
    <n v="0"/>
    <n v="33.159352970001457"/>
  </r>
  <r>
    <x v="1"/>
    <x v="6"/>
    <x v="2"/>
    <n v="0.97"/>
    <x v="2"/>
    <s v="Late"/>
    <n v="1"/>
    <n v="37.325600000000001"/>
    <x v="5"/>
    <d v="2022-10-10T00:00:00"/>
    <n v="65.896372801617701"/>
    <d v="2022-10-28T00:00:00"/>
    <d v="2022-10-31T00:00:00"/>
    <n v="724.860100817795"/>
    <n v="3"/>
    <s v="Late"/>
    <n v="65.89637280161773"/>
    <n v="0.12063647199662839"/>
    <n v="1.3795765539747452E-3"/>
    <n v="0.97"/>
    <n v="0"/>
    <n v="31.554116736551808"/>
  </r>
  <r>
    <x v="2"/>
    <x v="3"/>
    <x v="2"/>
    <n v="0.77"/>
    <x v="1"/>
    <s v="Late"/>
    <n v="1"/>
    <n v="178.61850000000001"/>
    <x v="3"/>
    <d v="2023-02-27T00:00:00"/>
    <n v="34.802646276308998"/>
    <d v="2023-03-15T00:00:00"/>
    <d v="2023-03-19T00:00:00"/>
    <n v="417.63175531570801"/>
    <n v="4"/>
    <s v="Late"/>
    <n v="34.802646276308998"/>
    <n v="0.4919014040870956"/>
    <n v="2.3944539352474567E-3"/>
    <n v="0.77"/>
    <n v="0"/>
    <n v="33.009861699799337"/>
  </r>
  <r>
    <x v="3"/>
    <x v="7"/>
    <x v="1"/>
    <n v="0.67"/>
    <x v="0"/>
    <s v="Late"/>
    <n v="1"/>
    <n v="220.86"/>
    <x v="1"/>
    <d v="2022-10-09T00:00:00"/>
    <n v="37.395460892717303"/>
    <d v="2022-10-24T00:00:00"/>
    <d v="2022-10-25T00:00:00"/>
    <n v="486.14099160532498"/>
    <n v="1"/>
    <s v="Late"/>
    <n v="37.39546089271731"/>
    <n v="0.48555599525128612"/>
    <n v="2.0570164155419607E-3"/>
    <n v="0.67"/>
    <n v="0"/>
    <n v="29.872830397491978"/>
  </r>
  <r>
    <x v="4"/>
    <x v="5"/>
    <x v="2"/>
    <n v="0.81"/>
    <x v="0"/>
    <s v="Late"/>
    <n v="1"/>
    <n v="291.59119999999899"/>
    <x v="0"/>
    <d v="2021-10-13T00:00:00"/>
    <n v="35.299166676683299"/>
    <d v="2021-10-26T00:00:00"/>
    <d v="2021-10-31T00:00:00"/>
    <n v="317.69250009015002"/>
    <n v="5"/>
    <s v="Late"/>
    <n v="35.299166676683335"/>
    <n v="0.32196143589417331"/>
    <n v="3.1476978515899336E-3"/>
    <n v="0.81"/>
    <n v="0"/>
    <n v="30.833659653431166"/>
  </r>
  <r>
    <x v="5"/>
    <x v="4"/>
    <x v="0"/>
    <n v="0.94"/>
    <x v="1"/>
    <s v="On Time"/>
    <n v="0"/>
    <n v="469.94399999999899"/>
    <x v="1"/>
    <d v="2021-03-23T00:00:00"/>
    <n v="41.1509142295752"/>
    <d v="2021-04-10T00:00:00"/>
    <d v="2021-04-16T00:00:00"/>
    <n v="534.96188498447805"/>
    <n v="6"/>
    <s v="Late"/>
    <n v="41.150914229575235"/>
    <n v="0.68500562646127505"/>
    <n v="1.869292052515134E-3"/>
    <n v="0.94"/>
    <n v="1"/>
    <n v="61.956191290800966"/>
  </r>
  <r>
    <x v="6"/>
    <x v="3"/>
    <x v="3"/>
    <n v="0.89"/>
    <x v="0"/>
    <s v="Late"/>
    <n v="1"/>
    <n v="-25.243200000000002"/>
    <x v="6"/>
    <d v="2022-10-12T00:00:00"/>
    <n v="5.6261480054828503"/>
    <d v="2022-10-31T00:00:00"/>
    <d v="2022-11-03T00:00:00"/>
    <n v="56.261480054828503"/>
    <n v="3"/>
    <s v="Late"/>
    <n v="5.6261480054828503"/>
    <n v="0"/>
    <n v="1.777415025387654E-2"/>
    <n v="0.89"/>
    <n v="0"/>
    <n v="27.233224507616299"/>
  </r>
  <r>
    <x v="7"/>
    <x v="4"/>
    <x v="0"/>
    <n v="0.91"/>
    <x v="0"/>
    <s v="Late"/>
    <n v="1"/>
    <n v="69.945599999999999"/>
    <x v="3"/>
    <d v="2021-02-05T00:00:00"/>
    <n v="62.2011118138782"/>
    <d v="2021-02-27T00:00:00"/>
    <d v="2021-02-28T00:00:00"/>
    <n v="684.21222995265998"/>
    <n v="1"/>
    <s v="Late"/>
    <n v="62.201111813878178"/>
    <n v="0.12573233129416636"/>
    <n v="1.4615348224178762E-3"/>
    <n v="0.91"/>
    <n v="0"/>
    <n v="29.858492670555865"/>
  </r>
  <r>
    <x v="8"/>
    <x v="5"/>
    <x v="1"/>
    <n v="0.86"/>
    <x v="1"/>
    <s v="On Time"/>
    <n v="0"/>
    <n v="317.20920000000001"/>
    <x v="2"/>
    <d v="2021-02-18T00:00:00"/>
    <n v="75.704641706265306"/>
    <d v="2021-03-01T00:00:00"/>
    <d v="2021-03-02T00:00:00"/>
    <n v="832.75105876891905"/>
    <n v="1"/>
    <s v="Late"/>
    <n v="75.704641706265363"/>
    <n v="0.3703857832030949"/>
    <n v="1.2008390616498647E-3"/>
    <n v="0.86"/>
    <n v="1"/>
    <n v="53.243740835911389"/>
  </r>
  <r>
    <x v="9"/>
    <x v="7"/>
    <x v="0"/>
    <n v="0.87"/>
    <x v="0"/>
    <s v="Late"/>
    <n v="1"/>
    <n v="287.602499999999"/>
    <x v="3"/>
    <d v="2021-05-03T00:00:00"/>
    <n v="49.074279939953101"/>
    <d v="2021-05-22T00:00:00"/>
    <d v="2021-05-25T00:00:00"/>
    <n v="687.03991915934296"/>
    <n v="3"/>
    <s v="Late"/>
    <n v="49.074279939953065"/>
    <n v="0.64763304115789078"/>
    <n v="1.4555195005605973E-3"/>
    <n v="0.87"/>
    <n v="0"/>
    <n v="39.096326408174633"/>
  </r>
  <r>
    <x v="3"/>
    <x v="2"/>
    <x v="2"/>
    <n v="0.93"/>
    <x v="2"/>
    <s v="Late"/>
    <n v="1"/>
    <n v="34.573999999999799"/>
    <x v="0"/>
    <d v="2022-04-13T00:00:00"/>
    <n v="26.3645392329583"/>
    <d v="2022-04-23T00:00:00"/>
    <d v="2022-04-24T00:00:00"/>
    <n v="237.28085309662501"/>
    <n v="1"/>
    <s v="Late"/>
    <n v="26.364539232958336"/>
    <n v="4.3422453982798613E-2"/>
    <n v="4.2144150568810632E-3"/>
    <n v="0.93"/>
    <n v="0"/>
    <n v="28.894881531362405"/>
  </r>
  <r>
    <x v="4"/>
    <x v="3"/>
    <x v="1"/>
    <n v="0.7"/>
    <x v="3"/>
    <s v="On Time"/>
    <n v="0"/>
    <n v="646.31209999999999"/>
    <x v="2"/>
    <d v="2021-06-26T00:00:00"/>
    <n v="16.985465137054"/>
    <d v="2021-07-16T00:00:00"/>
    <d v="2021-07-16T00:00:00"/>
    <n v="203.825581644648"/>
    <n v="0"/>
    <s v="On Time"/>
    <n v="16.985465137054"/>
    <n v="0.46457764227989995"/>
    <n v="4.9061555077194001E-3"/>
    <n v="0.7"/>
    <n v="1"/>
    <n v="50.43873751082959"/>
  </r>
  <r>
    <x v="5"/>
    <x v="1"/>
    <x v="3"/>
    <n v="0.79"/>
    <x v="0"/>
    <s v="On Time"/>
    <n v="0"/>
    <n v="300.60599999999999"/>
    <x v="6"/>
    <d v="2023-11-01T00:00:00"/>
    <n v="31.4106263068761"/>
    <d v="2023-11-19T00:00:00"/>
    <d v="2023-11-20T00:00:00"/>
    <n v="125.642505227504"/>
    <n v="1"/>
    <s v="Late"/>
    <n v="31.410626306876001"/>
    <n v="0.67470642102995038"/>
    <n v="7.9590899448341561E-3"/>
    <n v="0.79"/>
    <n v="1"/>
    <n v="57.432901118944038"/>
  </r>
  <r>
    <x v="6"/>
    <x v="1"/>
    <x v="2"/>
    <n v="0.69"/>
    <x v="0"/>
    <s v="Late"/>
    <n v="1"/>
    <n v="539.7808"/>
    <x v="0"/>
    <d v="2022-03-17T00:00:00"/>
    <n v="52.890325720816797"/>
    <d v="2022-04-02T00:00:00"/>
    <d v="2022-04-02T00:00:00"/>
    <n v="846.24521153307001"/>
    <n v="0"/>
    <s v="On Time"/>
    <n v="52.890325720816875"/>
    <n v="0.85649473962141653"/>
    <n v="1.1816905860990168E-3"/>
    <n v="0.69"/>
    <n v="0"/>
    <n v="37.865345510011309"/>
  </r>
  <r>
    <x v="7"/>
    <x v="5"/>
    <x v="1"/>
    <n v="0.99"/>
    <x v="3"/>
    <s v="Late"/>
    <n v="1"/>
    <n v="59.794699999999999"/>
    <x v="4"/>
    <d v="2022-01-06T00:00:00"/>
    <n v="33.533410847842603"/>
    <d v="2022-01-22T00:00:00"/>
    <d v="2022-01-20T00:00:00"/>
    <n v="536.53457356548199"/>
    <n v="-2"/>
    <s v="On Time"/>
    <n v="33.533410847842624"/>
    <n v="0.11157086861515031"/>
    <n v="1.8638127890894505E-3"/>
    <n v="0.99"/>
    <n v="0"/>
    <n v="31.987331755975688"/>
  </r>
  <r>
    <x v="8"/>
    <x v="1"/>
    <x v="3"/>
    <n v="0.97"/>
    <x v="2"/>
    <s v="Late"/>
    <n v="1"/>
    <n v="300.32"/>
    <x v="1"/>
    <d v="2022-08-24T00:00:00"/>
    <n v="65.213074467945503"/>
    <d v="2022-09-16T00:00:00"/>
    <d v="2022-09-21T00:00:00"/>
    <n v="717.34381914740004"/>
    <n v="5"/>
    <s v="Late"/>
    <n v="65.213074467945461"/>
    <n v="0.904251475370348"/>
    <n v="1.3940316669746333E-3"/>
    <n v="0.97"/>
    <n v="0"/>
    <n v="47.226850457416205"/>
  </r>
  <r>
    <x v="9"/>
    <x v="2"/>
    <x v="2"/>
    <n v="0.62"/>
    <x v="0"/>
    <s v="Late"/>
    <n v="1"/>
    <n v="538.07219999999995"/>
    <x v="6"/>
    <d v="2022-09-28T00:00:00"/>
    <n v="75.371756369507693"/>
    <d v="2022-10-13T00:00:00"/>
    <d v="2022-10-15T00:00:00"/>
    <n v="753.71756369507705"/>
    <n v="2"/>
    <s v="Late"/>
    <n v="75.371756369507708"/>
    <n v="0.24939243085224866"/>
    <n v="1.3267569288123405E-3"/>
    <n v="0.62"/>
    <n v="0"/>
    <n v="23.627651324909344"/>
  </r>
  <r>
    <x v="0"/>
    <x v="5"/>
    <x v="2"/>
    <n v="0.88"/>
    <x v="1"/>
    <s v="Late"/>
    <n v="1"/>
    <n v="274.98480000000001"/>
    <x v="1"/>
    <d v="2022-01-26T00:00:00"/>
    <n v="21.234024595847799"/>
    <d v="2022-02-18T00:00:00"/>
    <d v="2022-02-19T00:00:00"/>
    <n v="254.808295150173"/>
    <n v="1"/>
    <s v="Late"/>
    <n v="21.23402459584775"/>
    <n v="0.41063051245936771"/>
    <n v="3.9245190169756574E-3"/>
    <n v="0.88"/>
    <n v="0"/>
    <n v="34.73034581969663"/>
  </r>
  <r>
    <x v="1"/>
    <x v="2"/>
    <x v="1"/>
    <n v="0.96"/>
    <x v="2"/>
    <s v="Late"/>
    <n v="1"/>
    <n v="372.75599999999997"/>
    <x v="5"/>
    <d v="2021-10-17T00:00:00"/>
    <n v="15.9494362047151"/>
    <d v="2021-11-09T00:00:00"/>
    <d v="2021-11-07T00:00:00"/>
    <n v="223.29210686601201"/>
    <n v="-2"/>
    <s v="On Time"/>
    <n v="15.949436204715143"/>
    <n v="0.63688926250179401"/>
    <n v="4.4784386427060632E-3"/>
    <n v="0.96"/>
    <n v="0"/>
    <n v="41.672138409317064"/>
  </r>
  <r>
    <x v="2"/>
    <x v="7"/>
    <x v="2"/>
    <n v="0.67"/>
    <x v="0"/>
    <s v="Late"/>
    <n v="1"/>
    <n v="39.566399999999902"/>
    <x v="4"/>
    <d v="2023-03-30T00:00:00"/>
    <n v="34.845726586719103"/>
    <d v="2023-04-18T00:00:00"/>
    <d v="2023-04-19T00:00:00"/>
    <n v="487.84017221406799"/>
    <n v="1"/>
    <s v="Late"/>
    <n v="34.845726586719145"/>
    <n v="7.579386789633609E-2"/>
    <n v="2.0498516870012754E-3"/>
    <n v="0.67"/>
    <n v="0"/>
    <n v="21.677372908536764"/>
  </r>
  <r>
    <x v="3"/>
    <x v="4"/>
    <x v="2"/>
    <n v="0.82"/>
    <x v="1"/>
    <s v="Late"/>
    <n v="1"/>
    <n v="92.383199999999903"/>
    <x v="4"/>
    <d v="2022-06-29T00:00:00"/>
    <n v="53.439130034257602"/>
    <d v="2022-07-20T00:00:00"/>
    <d v="2022-07-23T00:00:00"/>
    <n v="748.14782047960705"/>
    <n v="3"/>
    <s v="Late"/>
    <n v="53.439130034257644"/>
    <n v="0.37666963490650163"/>
    <n v="1.3366342487757844E-3"/>
    <n v="0.82"/>
    <n v="0"/>
    <n v="32.173491725593301"/>
  </r>
  <r>
    <x v="4"/>
    <x v="7"/>
    <x v="2"/>
    <n v="0.96"/>
    <x v="1"/>
    <s v="On Time"/>
    <n v="0"/>
    <n v="-169.7"/>
    <x v="6"/>
    <d v="2021-10-18T00:00:00"/>
    <n v="59.6917904344212"/>
    <d v="2021-11-04T00:00:00"/>
    <d v="2021-11-10T00:00:00"/>
    <n v="477.53432347536898"/>
    <n v="6"/>
    <s v="Late"/>
    <n v="59.691790434421122"/>
    <n v="0"/>
    <n v="2.0940903110843708E-3"/>
    <n v="0.96"/>
    <n v="1"/>
    <n v="48.862822709332534"/>
  </r>
  <r>
    <x v="5"/>
    <x v="7"/>
    <x v="3"/>
    <n v="0.61"/>
    <x v="0"/>
    <s v="Late"/>
    <n v="1"/>
    <n v="222.06859999999901"/>
    <x v="4"/>
    <d v="2023-10-14T00:00:00"/>
    <n v="20.7836862185993"/>
    <d v="2023-11-02T00:00:00"/>
    <d v="2023-11-08T00:00:00"/>
    <n v="353.322665716188"/>
    <n v="6"/>
    <s v="Late"/>
    <n v="20.783686218599293"/>
    <n v="0.50848192676183568"/>
    <n v="2.8302741290966759E-3"/>
    <n v="0.61"/>
    <n v="0"/>
    <n v="28.554546759109613"/>
  </r>
  <r>
    <x v="6"/>
    <x v="2"/>
    <x v="0"/>
    <n v="0.87"/>
    <x v="0"/>
    <s v="Late"/>
    <n v="1"/>
    <n v="54.809399999999997"/>
    <x v="2"/>
    <d v="2021-10-01T00:00:00"/>
    <n v="21.573534801540699"/>
    <d v="2021-10-12T00:00:00"/>
    <d v="2021-10-14T00:00:00"/>
    <n v="215.735348015407"/>
    <n v="2"/>
    <s v="Late"/>
    <n v="21.573534801540699"/>
    <n v="0.5123360198318555"/>
    <n v="4.6353089987301657E-3"/>
    <n v="0.87"/>
    <n v="0"/>
    <n v="36.485779666599015"/>
  </r>
  <r>
    <x v="7"/>
    <x v="5"/>
    <x v="1"/>
    <n v="0.72"/>
    <x v="1"/>
    <s v="Late"/>
    <n v="1"/>
    <n v="592.32950000000005"/>
    <x v="4"/>
    <d v="2021-05-22T00:00:00"/>
    <n v="44.8773815416993"/>
    <d v="2021-06-13T00:00:00"/>
    <d v="2021-06-11T00:00:00"/>
    <n v="538.52857850039197"/>
    <n v="-2"/>
    <s v="On Time"/>
    <n v="44.877381541699329"/>
    <n v="0.61847264807025371"/>
    <n v="1.856911666200965E-3"/>
    <n v="0.72"/>
    <n v="0"/>
    <n v="34.025160311391097"/>
  </r>
  <r>
    <x v="8"/>
    <x v="5"/>
    <x v="1"/>
    <n v="0.96"/>
    <x v="1"/>
    <s v="Late"/>
    <n v="1"/>
    <n v="651.02800000000002"/>
    <x v="1"/>
    <d v="2024-01-28T00:00:00"/>
    <n v="30.4522377654603"/>
    <d v="2024-02-09T00:00:00"/>
    <d v="2024-02-13T00:00:00"/>
    <n v="395.87909095098399"/>
    <n v="4"/>
    <s v="Late"/>
    <n v="30.452237765460307"/>
    <n v="0.69674268077072909"/>
    <n v="2.5260237856912114E-3"/>
    <n v="0.96"/>
    <n v="0"/>
    <n v="42.810634328985323"/>
  </r>
  <r>
    <x v="9"/>
    <x v="1"/>
    <x v="2"/>
    <n v="0.98"/>
    <x v="2"/>
    <s v="On Time"/>
    <n v="0"/>
    <n v="377.54899999999998"/>
    <x v="1"/>
    <d v="2023-02-09T00:00:00"/>
    <n v="26.036679296114599"/>
    <d v="2023-02-28T00:00:00"/>
    <d v="2023-03-05T00:00:00"/>
    <n v="286.403472257261"/>
    <n v="5"/>
    <s v="Late"/>
    <n v="26.036679296114638"/>
    <n v="0.8430274489839209"/>
    <n v="3.4915777805296761E-3"/>
    <n v="0.98"/>
    <n v="1"/>
    <n v="66.365296313094319"/>
  </r>
  <r>
    <x v="5"/>
    <x v="0"/>
    <x v="2"/>
    <n v="0.97"/>
    <x v="3"/>
    <s v="Late"/>
    <n v="1"/>
    <n v="724.29300000000001"/>
    <x v="0"/>
    <d v="2023-09-12T00:00:00"/>
    <n v="43.129207550346202"/>
    <d v="2023-10-03T00:00:00"/>
    <d v="2023-10-07T00:00:00"/>
    <n v="388.16286795311601"/>
    <n v="4"/>
    <s v="Late"/>
    <n v="43.129207550346223"/>
    <n v="0.5076868727013506"/>
    <n v="2.5762381787656835E-3"/>
    <n v="0.97"/>
    <n v="0"/>
    <n v="39.331024599389977"/>
  </r>
  <r>
    <x v="6"/>
    <x v="4"/>
    <x v="1"/>
    <n v="0.78"/>
    <x v="0"/>
    <s v="On Time"/>
    <n v="0"/>
    <n v="9.4026000000000298"/>
    <x v="1"/>
    <d v="2021-02-20T00:00:00"/>
    <n v="67.239977547098903"/>
    <d v="2021-03-02T00:00:00"/>
    <d v="2021-02-27T00:00:00"/>
    <n v="806.87973056518695"/>
    <n v="-3"/>
    <s v="On Time"/>
    <n v="67.239977547098917"/>
    <n v="4.3807883797708412E-2"/>
    <n v="1.239342075552623E-3"/>
    <n v="0.78"/>
    <n v="1"/>
    <n v="44.313337938220741"/>
  </r>
  <r>
    <x v="7"/>
    <x v="2"/>
    <x v="2"/>
    <n v="0.94"/>
    <x v="0"/>
    <s v="On Time"/>
    <n v="0"/>
    <n v="134.63749999999899"/>
    <x v="0"/>
    <d v="2023-04-15T00:00:00"/>
    <n v="42.555473179387697"/>
    <d v="2023-04-28T00:00:00"/>
    <d v="2023-04-27T00:00:00"/>
    <n v="723.44304404959098"/>
    <n v="-1"/>
    <s v="On Time"/>
    <n v="42.555473179387704"/>
    <n v="0.17546060240767458"/>
    <n v="1.3822788237790444E-3"/>
    <n v="0.94"/>
    <n v="1"/>
    <n v="51.750680412866856"/>
  </r>
  <r>
    <x v="8"/>
    <x v="1"/>
    <x v="3"/>
    <n v="0.93"/>
    <x v="2"/>
    <s v="On Time"/>
    <n v="0"/>
    <n v="688.15980000000002"/>
    <x v="1"/>
    <d v="2021-08-14T00:00:00"/>
    <n v="73.097718067492593"/>
    <d v="2021-09-04T00:00:00"/>
    <d v="2021-09-03T00:00:00"/>
    <n v="657.87946260743297"/>
    <n v="-1"/>
    <s v="On Time"/>
    <n v="73.097718067492551"/>
    <n v="0.60861944628845144"/>
    <n v="1.5200352904111186E-3"/>
    <n v="0.93"/>
    <n v="1"/>
    <n v="60.117989984481369"/>
  </r>
  <r>
    <x v="9"/>
    <x v="3"/>
    <x v="1"/>
    <n v="0.72"/>
    <x v="0"/>
    <s v="Late"/>
    <n v="1"/>
    <n v="151.85"/>
    <x v="2"/>
    <d v="2021-11-03T00:00:00"/>
    <n v="12.4696602173341"/>
    <d v="2021-11-15T00:00:00"/>
    <d v="2021-11-18T00:00:00"/>
    <n v="162.10558282534399"/>
    <n v="3"/>
    <s v="Late"/>
    <n v="12.469660217334154"/>
    <n v="0.66018868744837178"/>
    <n v="6.1688190040772462E-3"/>
    <n v="0.72"/>
    <n v="0"/>
    <n v="34.988838319089751"/>
  </r>
  <r>
    <x v="0"/>
    <x v="0"/>
    <x v="2"/>
    <n v="0.92"/>
    <x v="1"/>
    <s v="Late"/>
    <n v="1"/>
    <n v="287.63400000000001"/>
    <x v="0"/>
    <d v="2021-04-01T00:00:00"/>
    <n v="72.151990510038104"/>
    <d v="2021-04-17T00:00:00"/>
    <d v="2021-04-23T00:00:00"/>
    <n v="505.06393357026599"/>
    <n v="6"/>
    <s v="Late"/>
    <n v="72.151990510038004"/>
    <n v="0.43710450972883275"/>
    <n v="1.9799473562308466E-3"/>
    <n v="0.92"/>
    <n v="0"/>
    <n v="36.401488615263581"/>
  </r>
  <r>
    <x v="1"/>
    <x v="0"/>
    <x v="1"/>
    <n v="0.61"/>
    <x v="1"/>
    <s v="On Time"/>
    <n v="0"/>
    <n v="200.07299999999901"/>
    <x v="3"/>
    <d v="2022-03-08T00:00:00"/>
    <n v="75.6642997591008"/>
    <d v="2022-03-24T00:00:00"/>
    <d v="2022-03-28T00:00:00"/>
    <n v="1134.9644963865101"/>
    <n v="4"/>
    <s v="Late"/>
    <n v="75.664299759100672"/>
    <n v="0.18192208755806791"/>
    <n v="8.8108482968744057E-4"/>
    <n v="0.61"/>
    <n v="1"/>
    <n v="41.964874296051981"/>
  </r>
  <r>
    <x v="2"/>
    <x v="2"/>
    <x v="0"/>
    <n v="0.83"/>
    <x v="0"/>
    <s v="On Time"/>
    <n v="0"/>
    <n v="34.660799999999902"/>
    <x v="5"/>
    <d v="2023-01-03T00:00:00"/>
    <n v="72.6022334828494"/>
    <d v="2023-01-13T00:00:00"/>
    <d v="2023-01-11T00:00:00"/>
    <n v="943.82903527704298"/>
    <n v="-2"/>
    <s v="On Time"/>
    <n v="72.602233482849456"/>
    <n v="0.23428830991856137"/>
    <n v="1.0595139189657045E-3"/>
    <n v="0.83"/>
    <n v="1"/>
    <n v="49.617551615940201"/>
  </r>
  <r>
    <x v="3"/>
    <x v="6"/>
    <x v="2"/>
    <n v="0.69"/>
    <x v="0"/>
    <s v="Late"/>
    <n v="1"/>
    <n v="608.39399999999898"/>
    <x v="6"/>
    <d v="2022-07-18T00:00:00"/>
    <n v="16.129516436534999"/>
    <d v="2022-07-31T00:00:00"/>
    <d v="2022-07-29T00:00:00"/>
    <n v="241.94274654802601"/>
    <n v="-2"/>
    <s v="On Time"/>
    <n v="16.129516436535067"/>
    <n v="0.36542945592279213"/>
    <n v="4.1332092582552311E-3"/>
    <n v="0.69"/>
    <n v="0"/>
    <n v="28.132585396203496"/>
  </r>
  <r>
    <x v="4"/>
    <x v="4"/>
    <x v="1"/>
    <n v="0.65"/>
    <x v="3"/>
    <s v="On Time"/>
    <n v="0"/>
    <n v="347.85329999999999"/>
    <x v="1"/>
    <d v="2021-07-19T00:00:00"/>
    <n v="20.486450129432701"/>
    <d v="2021-08-07T00:00:00"/>
    <d v="2021-08-08T00:00:00"/>
    <n v="266.32385168262499"/>
    <n v="1"/>
    <s v="Late"/>
    <n v="20.48645012943269"/>
    <n v="0.43056303891814779"/>
    <n v="3.754827041145711E-3"/>
    <n v="0.65"/>
    <n v="1"/>
    <n v="48.223905589597329"/>
  </r>
  <r>
    <x v="5"/>
    <x v="0"/>
    <x v="2"/>
    <n v="0.63"/>
    <x v="2"/>
    <s v="Late"/>
    <n v="1"/>
    <n v="239.48249999999999"/>
    <x v="4"/>
    <d v="2023-12-05T00:00:00"/>
    <n v="50.959455184546997"/>
    <d v="2023-12-18T00:00:00"/>
    <d v="2023-12-17T00:00:00"/>
    <n v="815.35128295275297"/>
    <n v="-1"/>
    <s v="On Time"/>
    <n v="50.95945518454706"/>
    <n v="0.22549451170279627"/>
    <n v="1.2264652314994233E-3"/>
    <n v="0.63"/>
    <n v="0"/>
    <n v="23.446684191000912"/>
  </r>
  <r>
    <x v="6"/>
    <x v="2"/>
    <x v="2"/>
    <n v="0.87"/>
    <x v="1"/>
    <s v="On Time"/>
    <n v="0"/>
    <n v="370.47"/>
    <x v="1"/>
    <d v="2021-12-11T00:00:00"/>
    <n v="71.657515950638199"/>
    <d v="2021-12-21T00:00:00"/>
    <d v="2021-12-18T00:00:00"/>
    <n v="1003.20522330893"/>
    <n v="-3"/>
    <s v="On Time"/>
    <n v="71.657515950637858"/>
    <n v="0.58667870207610817"/>
    <n v="9.9680501732401475E-4"/>
    <n v="0.87"/>
    <n v="1"/>
    <n v="57.863478192041896"/>
  </r>
  <r>
    <x v="7"/>
    <x v="2"/>
    <x v="2"/>
    <n v="0.73"/>
    <x v="1"/>
    <s v="Late"/>
    <n v="1"/>
    <n v="87.059200000000004"/>
    <x v="4"/>
    <d v="2023-06-22T00:00:00"/>
    <n v="3.8793239738107199"/>
    <d v="2023-07-14T00:00:00"/>
    <d v="2023-07-17T00:00:00"/>
    <n v="54.310535633350099"/>
    <n v="3"/>
    <s v="Late"/>
    <n v="3.8793239738107212"/>
    <n v="0.34809867444597986"/>
    <n v="1.8412633724531651E-2"/>
    <n v="0.73"/>
    <n v="0"/>
    <n v="29.414352500655543"/>
  </r>
  <r>
    <x v="8"/>
    <x v="1"/>
    <x v="1"/>
    <n v="0.88"/>
    <x v="3"/>
    <s v="Late"/>
    <n v="1"/>
    <n v="264.22079999999897"/>
    <x v="5"/>
    <d v="2022-02-02T00:00:00"/>
    <n v="64.569289267689797"/>
    <d v="2022-02-17T00:00:00"/>
    <d v="2022-02-14T00:00:00"/>
    <n v="968.53933901534697"/>
    <n v="-3"/>
    <s v="On Time"/>
    <n v="64.569289267689797"/>
    <n v="0.19700903873719014"/>
    <n v="1.032482584565576E-3"/>
    <n v="0.88"/>
    <n v="0"/>
    <n v="30.371155252280769"/>
  </r>
  <r>
    <x v="9"/>
    <x v="3"/>
    <x v="0"/>
    <n v="0.63"/>
    <x v="3"/>
    <s v="Late"/>
    <n v="1"/>
    <n v="25.531999999999901"/>
    <x v="5"/>
    <d v="2023-10-23T00:00:00"/>
    <n v="47.444083915900897"/>
    <d v="2023-11-05T00:00:00"/>
    <d v="2023-11-03T00:00:00"/>
    <n v="853.993510486216"/>
    <n v="-2"/>
    <s v="On Time"/>
    <n v="47.44408391590089"/>
    <n v="0.1514784754853096"/>
    <n v="1.1709690855035374E-3"/>
    <n v="0.63"/>
    <n v="0"/>
    <n v="21.9646985822713"/>
  </r>
  <r>
    <x v="3"/>
    <x v="6"/>
    <x v="2"/>
    <n v="0.72"/>
    <x v="0"/>
    <s v="Late"/>
    <n v="1"/>
    <n v="-38.7167999999999"/>
    <x v="5"/>
    <d v="2023-02-08T00:00:00"/>
    <n v="29.617391811356299"/>
    <d v="2023-03-04T00:00:00"/>
    <d v="2023-03-06T00:00:00"/>
    <n v="207.32174267949401"/>
    <n v="2"/>
    <s v="Late"/>
    <n v="29.617391811356288"/>
    <n v="0"/>
    <n v="4.8234207713849639E-3"/>
    <n v="0.72"/>
    <n v="0"/>
    <n v="21.744702623141549"/>
  </r>
  <r>
    <x v="4"/>
    <x v="4"/>
    <x v="1"/>
    <n v="0.81"/>
    <x v="3"/>
    <s v="On Time"/>
    <n v="0"/>
    <n v="195.50239999999999"/>
    <x v="4"/>
    <d v="2022-02-12T00:00:00"/>
    <n v="57.785858685740401"/>
    <d v="2022-03-03T00:00:00"/>
    <d v="2022-03-06T00:00:00"/>
    <n v="635.64444554314503"/>
    <n v="3"/>
    <s v="Late"/>
    <n v="57.785858685740457"/>
    <n v="0.61270192276352442"/>
    <n v="1.5732065418199647E-3"/>
    <n v="0.81"/>
    <n v="1"/>
    <n v="56.60123465152509"/>
  </r>
  <r>
    <x v="5"/>
    <x v="5"/>
    <x v="2"/>
    <n v="0.91"/>
    <x v="2"/>
    <s v="On Time"/>
    <n v="0"/>
    <n v="85.424000000000007"/>
    <x v="1"/>
    <d v="2022-10-07T00:00:00"/>
    <n v="42.731129129901198"/>
    <d v="2022-10-18T00:00:00"/>
    <d v="2022-10-20T00:00:00"/>
    <n v="427.311291299012"/>
    <n v="2"/>
    <s v="Late"/>
    <n v="42.731129129901198"/>
    <n v="7.7817779008584886E-2"/>
    <n v="2.340214312989562E-3"/>
    <n v="0.91"/>
    <n v="1"/>
    <n v="48.926562009561387"/>
  </r>
  <r>
    <x v="6"/>
    <x v="7"/>
    <x v="3"/>
    <n v="0.72"/>
    <x v="0"/>
    <s v="Late"/>
    <n v="1"/>
    <n v="480.070999999999"/>
    <x v="5"/>
    <d v="2022-04-17T00:00:00"/>
    <n v="16.3970888628414"/>
    <d v="2022-05-08T00:00:00"/>
    <d v="2022-05-07T00:00:00"/>
    <n v="163.970888628414"/>
    <n v="-1"/>
    <s v="On Time"/>
    <n v="16.3970888628414"/>
    <n v="0.42803442671039021"/>
    <n v="6.0986435358423323E-3"/>
    <n v="0.72"/>
    <n v="0"/>
    <n v="30.343647840283072"/>
  </r>
  <r>
    <x v="7"/>
    <x v="3"/>
    <x v="2"/>
    <n v="0.84"/>
    <x v="1"/>
    <s v="Late"/>
    <n v="1"/>
    <n v="6.8040000000000003"/>
    <x v="2"/>
    <d v="2024-03-12T00:00:00"/>
    <n v="8.0735559464733306"/>
    <d v="2024-04-04T00:00:00"/>
    <d v="2024-04-03T00:00:00"/>
    <n v="80.735559464733299"/>
    <n v="-1"/>
    <s v="On Time"/>
    <n v="8.0735559464733306"/>
    <n v="4.5413284920973941E-2"/>
    <n v="1.238611593986436E-2"/>
    <n v="0.84"/>
    <n v="0"/>
    <n v="26.47984917661541"/>
  </r>
  <r>
    <x v="8"/>
    <x v="3"/>
    <x v="3"/>
    <n v="0.95"/>
    <x v="0"/>
    <s v="Late"/>
    <n v="1"/>
    <n v="229.94519999999901"/>
    <x v="0"/>
    <d v="2023-07-04T00:00:00"/>
    <n v="38.6640445128862"/>
    <d v="2023-07-28T00:00:00"/>
    <d v="2023-07-27T00:00:00"/>
    <n v="425.304489641749"/>
    <n v="-1"/>
    <s v="On Time"/>
    <n v="38.664044512886271"/>
    <n v="0.24210231955604197"/>
    <n v="2.3512566275572123E-3"/>
    <n v="0.95"/>
    <n v="0"/>
    <n v="33.412584089947558"/>
  </r>
  <r>
    <x v="9"/>
    <x v="1"/>
    <x v="1"/>
    <n v="0.84"/>
    <x v="3"/>
    <s v="Late"/>
    <n v="1"/>
    <n v="98.686800000000005"/>
    <x v="4"/>
    <d v="2021-10-20T00:00:00"/>
    <n v="46.937008209945802"/>
    <d v="2021-11-07T00:00:00"/>
    <d v="2021-11-07T00:00:00"/>
    <n v="610.18110672929595"/>
    <n v="0"/>
    <s v="On Time"/>
    <n v="46.937008209945844"/>
    <n v="0.21318935042647896"/>
    <n v="1.6388576915470532E-3"/>
    <n v="0.84"/>
    <n v="0"/>
    <n v="29.512952739275988"/>
  </r>
  <r>
    <x v="0"/>
    <x v="5"/>
    <x v="0"/>
    <n v="0.69"/>
    <x v="0"/>
    <s v="On Time"/>
    <n v="0"/>
    <n v="426.82560000000001"/>
    <x v="4"/>
    <d v="2023-12-28T00:00:00"/>
    <n v="31.102527965686601"/>
    <d v="2024-01-10T00:00:00"/>
    <d v="2024-01-16T00:00:00"/>
    <n v="528.74297541667204"/>
    <n v="6"/>
    <s v="Late"/>
    <n v="31.102527965686591"/>
    <n v="0.68258720216163105"/>
    <n v="1.8912780812113056E-3"/>
    <n v="0.69"/>
    <n v="1"/>
    <n v="54.408482385668954"/>
  </r>
  <r>
    <x v="1"/>
    <x v="0"/>
    <x v="2"/>
    <n v="0.61"/>
    <x v="3"/>
    <s v="Late"/>
    <n v="1"/>
    <n v="-81.767999999999802"/>
    <x v="1"/>
    <d v="2022-12-17T00:00:00"/>
    <n v="26.553542990995901"/>
    <d v="2023-01-03T00:00:00"/>
    <d v="2022-12-31T00:00:00"/>
    <n v="238.981886918963"/>
    <n v="-3"/>
    <s v="On Time"/>
    <n v="26.55354299099589"/>
    <n v="0"/>
    <n v="4.1844175426528985E-3"/>
    <n v="0.61"/>
    <n v="0"/>
    <n v="18.425532526279586"/>
  </r>
  <r>
    <x v="2"/>
    <x v="0"/>
    <x v="2"/>
    <n v="0.94"/>
    <x v="0"/>
    <s v="Late"/>
    <n v="1"/>
    <n v="-105.65839999999901"/>
    <x v="4"/>
    <d v="2021-08-06T00:00:00"/>
    <n v="29.703313209106401"/>
    <d v="2021-08-20T00:00:00"/>
    <d v="2021-08-17T00:00:00"/>
    <n v="445.54969813659699"/>
    <n v="-3"/>
    <s v="On Time"/>
    <n v="29.703313209106465"/>
    <n v="0"/>
    <n v="2.2444185332910252E-3"/>
    <n v="0.94"/>
    <n v="0"/>
    <n v="28.267332555998724"/>
  </r>
  <r>
    <x v="3"/>
    <x v="1"/>
    <x v="2"/>
    <n v="0.61"/>
    <x v="1"/>
    <s v="Late"/>
    <n v="1"/>
    <n v="185.83459999999999"/>
    <x v="4"/>
    <d v="2021-10-27T00:00:00"/>
    <n v="73.906259385469397"/>
    <d v="2021-11-10T00:00:00"/>
    <d v="2021-11-11T00:00:00"/>
    <n v="517.34381569828497"/>
    <n v="1"/>
    <s v="Late"/>
    <n v="73.906259385469284"/>
    <n v="0.29212634988963204"/>
    <n v="1.9329505246916882E-3"/>
    <n v="0.61"/>
    <n v="0"/>
    <n v="24.200515513533389"/>
  </r>
  <r>
    <x v="4"/>
    <x v="2"/>
    <x v="1"/>
    <n v="0.94"/>
    <x v="1"/>
    <s v="Late"/>
    <n v="1"/>
    <n v="251.159999999999"/>
    <x v="5"/>
    <d v="2021-04-21T00:00:00"/>
    <n v="5.0253406534500398"/>
    <d v="2021-05-03T00:00:00"/>
    <d v="2021-05-07T00:00:00"/>
    <n v="75.380109801750606"/>
    <n v="4"/>
    <s v="Late"/>
    <n v="5.0253406534500407"/>
    <n v="0.44598337950138328"/>
    <n v="1.3266099009805054E-2"/>
    <n v="0.94"/>
    <n v="0"/>
    <n v="37.517650560321812"/>
  </r>
  <r>
    <x v="5"/>
    <x v="0"/>
    <x v="2"/>
    <n v="0.81"/>
    <x v="1"/>
    <s v="Late"/>
    <n v="1"/>
    <n v="210.5104"/>
    <x v="1"/>
    <d v="2024-04-02T00:00:00"/>
    <n v="33.3056878851758"/>
    <d v="2024-04-23T00:00:00"/>
    <d v="2024-04-28T00:00:00"/>
    <n v="299.75119096658199"/>
    <n v="5"/>
    <s v="Late"/>
    <n v="33.305687885175779"/>
    <n v="0.77773705584356478"/>
    <n v="3.3361001728646538E-3"/>
    <n v="0.81"/>
    <n v="0"/>
    <n v="39.954824122057232"/>
  </r>
  <r>
    <x v="6"/>
    <x v="6"/>
    <x v="2"/>
    <n v="0.97"/>
    <x v="2"/>
    <s v="On Time"/>
    <n v="0"/>
    <n v="-22.1997999999999"/>
    <x v="5"/>
    <d v="2021-02-12T00:00:00"/>
    <n v="60.219709383235802"/>
    <d v="2021-02-26T00:00:00"/>
    <d v="2021-02-25T00:00:00"/>
    <n v="662.41680321559397"/>
    <n v="-1"/>
    <s v="On Time"/>
    <n v="60.219709383235816"/>
    <n v="0"/>
    <n v="1.5096235408668132E-3"/>
    <n v="0.97"/>
    <n v="1"/>
    <n v="49.145288706226005"/>
  </r>
  <r>
    <x v="7"/>
    <x v="4"/>
    <x v="1"/>
    <n v="0.91"/>
    <x v="0"/>
    <s v="Late"/>
    <n v="1"/>
    <n v="1702.3565000000001"/>
    <x v="0"/>
    <d v="2021-01-22T00:00:00"/>
    <n v="21.0255220765624"/>
    <d v="2021-02-12T00:00:00"/>
    <d v="2021-02-15T00:00:00"/>
    <n v="126.15313245937401"/>
    <n v="3"/>
    <s v="Late"/>
    <n v="21.025522076562336"/>
    <n v="0.75992409492776547"/>
    <n v="7.926874113268945E-3"/>
    <n v="0.91"/>
    <n v="0"/>
    <n v="42.736288121953379"/>
  </r>
  <r>
    <x v="8"/>
    <x v="3"/>
    <x v="2"/>
    <n v="0.99"/>
    <x v="3"/>
    <s v="Late"/>
    <n v="1"/>
    <n v="275.91300000000001"/>
    <x v="0"/>
    <d v="2022-12-11T00:00:00"/>
    <n v="32.118802331799699"/>
    <d v="2022-12-27T00:00:00"/>
    <d v="2022-12-25T00:00:00"/>
    <n v="289.06922098619702"/>
    <n v="-2"/>
    <s v="On Time"/>
    <n v="32.118802331799671"/>
    <n v="0.51021019521693545"/>
    <n v="3.459379025509429E-3"/>
    <n v="0.99"/>
    <n v="0"/>
    <n v="40.007985275103991"/>
  </r>
  <r>
    <x v="9"/>
    <x v="0"/>
    <x v="0"/>
    <n v="0.75"/>
    <x v="0"/>
    <s v="Late"/>
    <n v="1"/>
    <n v="0.50239999999996598"/>
    <x v="5"/>
    <d v="2022-05-10T00:00:00"/>
    <n v="43.818240399276497"/>
    <d v="2022-05-20T00:00:00"/>
    <d v="2022-05-22T00:00:00"/>
    <n v="394.364163593488"/>
    <n v="2"/>
    <s v="Late"/>
    <n v="43.818240399276448"/>
    <n v="1.6973982236780497E-3"/>
    <n v="2.5357273614516444E-3"/>
    <n v="0.75"/>
    <n v="0"/>
    <n v="22.610019785317107"/>
  </r>
  <r>
    <x v="3"/>
    <x v="1"/>
    <x v="1"/>
    <n v="0.8"/>
    <x v="2"/>
    <s v="On Time"/>
    <n v="0"/>
    <n v="121.08799999999999"/>
    <x v="0"/>
    <d v="2024-03-16T00:00:00"/>
    <n v="75.894447211075502"/>
    <d v="2024-04-09T00:00:00"/>
    <d v="2024-04-12T00:00:00"/>
    <n v="683.05002489967899"/>
    <n v="3"/>
    <s v="Late"/>
    <n v="75.894447211075445"/>
    <n v="0.27349809593935914"/>
    <n v="1.4640216141517191E-3"/>
    <n v="0.8"/>
    <n v="1"/>
    <n v="49.513882567211738"/>
  </r>
  <r>
    <x v="4"/>
    <x v="2"/>
    <x v="2"/>
    <n v="0.62"/>
    <x v="0"/>
    <s v="On Time"/>
    <n v="0"/>
    <n v="288.211199999999"/>
    <x v="1"/>
    <d v="2021-08-11T00:00:00"/>
    <n v="46.756341303689602"/>
    <d v="2021-09-02T00:00:00"/>
    <d v="2021-09-04T00:00:00"/>
    <n v="607.83243694796499"/>
    <n v="2"/>
    <s v="Late"/>
    <n v="46.756341303689616"/>
    <n v="0.47012582309601386"/>
    <n v="1.6451902518088344E-3"/>
    <n v="0.62"/>
    <n v="1"/>
    <n v="48.051872169474549"/>
  </r>
  <r>
    <x v="5"/>
    <x v="0"/>
    <x v="2"/>
    <n v="0.66"/>
    <x v="2"/>
    <s v="Late"/>
    <n v="1"/>
    <n v="822.12479999999903"/>
    <x v="6"/>
    <d v="2022-01-03T00:00:00"/>
    <n v="64.290359185126405"/>
    <d v="2022-01-21T00:00:00"/>
    <d v="2022-01-19T00:00:00"/>
    <n v="707.19395103639101"/>
    <n v="-2"/>
    <s v="On Time"/>
    <n v="64.290359185126462"/>
    <n v="0.68994812579118481"/>
    <n v="1.4140392441627965E-3"/>
    <n v="0.66"/>
    <n v="0"/>
    <n v="33.641383693148583"/>
  </r>
  <r>
    <x v="6"/>
    <x v="3"/>
    <x v="2"/>
    <n v="0.89"/>
    <x v="1"/>
    <s v="On Time"/>
    <n v="0"/>
    <n v="254.74"/>
    <x v="5"/>
    <d v="2023-05-07T00:00:00"/>
    <n v="21.9085338944986"/>
    <d v="2023-05-28T00:00:00"/>
    <d v="2023-05-29T00:00:00"/>
    <n v="131.451203366991"/>
    <n v="1"/>
    <s v="Late"/>
    <n v="21.9085338944985"/>
    <n v="0.22085240671382994"/>
    <n v="7.6073856639270005E-3"/>
    <n v="0.89"/>
    <n v="1"/>
    <n v="51.345269704194422"/>
  </r>
  <r>
    <x v="7"/>
    <x v="0"/>
    <x v="3"/>
    <n v="0.63"/>
    <x v="0"/>
    <s v="Late"/>
    <n v="1"/>
    <n v="265.05"/>
    <x v="2"/>
    <d v="2022-03-19T00:00:00"/>
    <n v="32.2617769661572"/>
    <d v="2022-03-29T00:00:00"/>
    <d v="2022-03-26T00:00:00"/>
    <n v="548.45020842467295"/>
    <n v="-3"/>
    <s v="On Time"/>
    <n v="32.261776966157235"/>
    <n v="0.40566600854033702"/>
    <n v="1.8233195732978655E-3"/>
    <n v="0.63"/>
    <n v="0"/>
    <n v="27.068019758005679"/>
  </r>
  <r>
    <x v="8"/>
    <x v="1"/>
    <x v="3"/>
    <n v="0.84"/>
    <x v="0"/>
    <s v="On Time"/>
    <n v="0"/>
    <n v="329.582999999999"/>
    <x v="2"/>
    <d v="2024-03-09T00:00:00"/>
    <n v="13.5052052215314"/>
    <d v="2024-03-29T00:00:00"/>
    <d v="2024-03-29T00:00:00"/>
    <n v="135.05205221531401"/>
    <n v="0"/>
    <s v="On Time"/>
    <n v="13.505205221531401"/>
    <n v="0.3091967318771433"/>
    <n v="7.4045524195789055E-3"/>
    <n v="0.84"/>
    <n v="1"/>
    <n v="51.606071210130231"/>
  </r>
  <r>
    <x v="9"/>
    <x v="0"/>
    <x v="2"/>
    <n v="0.7"/>
    <x v="2"/>
    <s v="Late"/>
    <n v="1"/>
    <n v="-2.855"/>
    <x v="4"/>
    <d v="2022-01-13T00:00:00"/>
    <n v="48.345469458925002"/>
    <d v="2022-01-28T00:00:00"/>
    <d v="2022-02-02T00:00:00"/>
    <n v="676.83657242494996"/>
    <n v="5"/>
    <s v="Late"/>
    <n v="48.345469458924995"/>
    <n v="0"/>
    <n v="1.4774615331692696E-3"/>
    <n v="0.7"/>
    <n v="0"/>
    <n v="21.044323845995077"/>
  </r>
  <r>
    <x v="0"/>
    <x v="1"/>
    <x v="2"/>
    <n v="0.75"/>
    <x v="3"/>
    <s v="Late"/>
    <n v="1"/>
    <n v="374.55799999999903"/>
    <x v="0"/>
    <d v="2022-07-19T00:00:00"/>
    <n v="62.978544645077598"/>
    <d v="2022-07-31T00:00:00"/>
    <d v="2022-08-04T00:00:00"/>
    <n v="944.67816967616398"/>
    <n v="4"/>
    <s v="Late"/>
    <n v="62.978544645077598"/>
    <n v="0.64207227808652501"/>
    <n v="1.0585615631859052E-3"/>
    <n v="0.75"/>
    <n v="0"/>
    <n v="35.373202408626078"/>
  </r>
  <r>
    <x v="1"/>
    <x v="4"/>
    <x v="2"/>
    <n v="0.71"/>
    <x v="1"/>
    <s v="Late"/>
    <n v="1"/>
    <n v="232.6875"/>
    <x v="2"/>
    <d v="2022-11-10T00:00:00"/>
    <n v="21.9105867178944"/>
    <d v="2022-12-02T00:00:00"/>
    <d v="2022-12-03T00:00:00"/>
    <n v="153.374107025261"/>
    <n v="1"/>
    <s v="Late"/>
    <n v="21.910586717894429"/>
    <n v="0.22855353788353164"/>
    <n v="6.5200053607177523E-3"/>
    <n v="0.71"/>
    <n v="0"/>
    <n v="26.066670918492164"/>
  </r>
  <r>
    <x v="2"/>
    <x v="5"/>
    <x v="3"/>
    <n v="0.74"/>
    <x v="1"/>
    <s v="Late"/>
    <n v="1"/>
    <n v="41.4269999999999"/>
    <x v="4"/>
    <d v="2022-02-27T00:00:00"/>
    <n v="28.029583658455898"/>
    <d v="2022-03-19T00:00:00"/>
    <d v="2022-03-22T00:00:00"/>
    <n v="420.443754876838"/>
    <n v="3"/>
    <s v="Late"/>
    <n v="28.029583658455866"/>
    <n v="5.3733817400744718E-2"/>
    <n v="2.3784394188300726E-3"/>
    <n v="0.74"/>
    <n v="0"/>
    <n v="23.346029530579795"/>
  </r>
  <r>
    <x v="3"/>
    <x v="1"/>
    <x v="3"/>
    <n v="0.88"/>
    <x v="2"/>
    <s v="Late"/>
    <n v="1"/>
    <n v="312.46399999999898"/>
    <x v="6"/>
    <d v="2022-05-31T00:00:00"/>
    <n v="70.069499576472396"/>
    <d v="2022-06-10T00:00:00"/>
    <d v="2022-06-12T00:00:00"/>
    <n v="910.903494494141"/>
    <n v="2"/>
    <s v="Late"/>
    <n v="70.069499576472381"/>
    <n v="0.36879178154624692"/>
    <n v="1.0978111359154876E-3"/>
    <n v="0.88"/>
    <n v="0"/>
    <n v="33.808769965002405"/>
  </r>
  <r>
    <x v="4"/>
    <x v="1"/>
    <x v="2"/>
    <n v="0.72"/>
    <x v="3"/>
    <s v="Late"/>
    <n v="1"/>
    <n v="35.6965"/>
    <x v="1"/>
    <d v="2021-02-20T00:00:00"/>
    <n v="3.3485748747338802"/>
    <d v="2021-03-08T00:00:00"/>
    <d v="2021-03-06T00:00:00"/>
    <n v="33.485748747338803"/>
    <n v="-2"/>
    <s v="On Time"/>
    <n v="3.3485748747338802"/>
    <n v="4.6376165770124454E-2"/>
    <n v="2.9863450494875751E-2"/>
    <n v="0.72"/>
    <n v="0"/>
    <n v="23.423426830248761"/>
  </r>
  <r>
    <x v="5"/>
    <x v="6"/>
    <x v="0"/>
    <n v="0.82"/>
    <x v="0"/>
    <s v="On Time"/>
    <n v="0"/>
    <n v="477.02849999999899"/>
    <x v="1"/>
    <d v="2024-02-27T00:00:00"/>
    <n v="48.530367525258796"/>
    <d v="2024-03-22T00:00:00"/>
    <d v="2024-03-23T00:00:00"/>
    <n v="582.36441030310596"/>
    <n v="1"/>
    <s v="Late"/>
    <n v="48.530367525258832"/>
    <n v="0.37786575635768599"/>
    <n v="1.7171378990682574E-3"/>
    <n v="0.82"/>
    <n v="1"/>
    <n v="52.208829264125768"/>
  </r>
  <r>
    <x v="6"/>
    <x v="1"/>
    <x v="1"/>
    <n v="0.79"/>
    <x v="1"/>
    <s v="Late"/>
    <n v="1"/>
    <n v="211.7244"/>
    <x v="1"/>
    <d v="2021-02-27T00:00:00"/>
    <n v="42.916515759544403"/>
    <d v="2021-03-15T00:00:00"/>
    <d v="2021-03-13T00:00:00"/>
    <n v="472.08167335498899"/>
    <n v="-2"/>
    <s v="On Time"/>
    <n v="42.916515759544453"/>
    <n v="0.36295545059574752"/>
    <n v="2.1182775278972433E-3"/>
    <n v="0.79"/>
    <n v="0"/>
    <n v="31.02265733775187"/>
  </r>
  <r>
    <x v="7"/>
    <x v="1"/>
    <x v="3"/>
    <n v="0.86"/>
    <x v="3"/>
    <s v="Late"/>
    <n v="1"/>
    <n v="263.95949999999999"/>
    <x v="2"/>
    <d v="2021-12-21T00:00:00"/>
    <n v="53.3462168957887"/>
    <d v="2022-01-06T00:00:00"/>
    <d v="2022-01-08T00:00:00"/>
    <n v="480.11595206209802"/>
    <n v="2"/>
    <s v="Late"/>
    <n v="53.346216895788672"/>
    <n v="0.22605862411088162"/>
    <n v="2.0828301907174713E-3"/>
    <n v="0.86"/>
    <n v="0"/>
    <n v="30.383657387939156"/>
  </r>
  <r>
    <x v="8"/>
    <x v="2"/>
    <x v="3"/>
    <n v="0.97"/>
    <x v="1"/>
    <s v="Late"/>
    <n v="1"/>
    <n v="384.47800000000001"/>
    <x v="6"/>
    <d v="2023-02-23T00:00:00"/>
    <n v="37.969858508216397"/>
    <d v="2023-03-17T00:00:00"/>
    <d v="2023-03-22T00:00:00"/>
    <n v="531.57801911502997"/>
    <n v="5"/>
    <s v="Late"/>
    <n v="37.969858508216426"/>
    <n v="0.44368409269777676"/>
    <n v="1.8811914037845244E-3"/>
    <n v="0.97"/>
    <n v="0"/>
    <n v="38.030117596069068"/>
  </r>
  <r>
    <x v="9"/>
    <x v="5"/>
    <x v="0"/>
    <n v="0.89"/>
    <x v="1"/>
    <s v="Late"/>
    <n v="1"/>
    <n v="363.74400000000003"/>
    <x v="2"/>
    <d v="2023-11-21T00:00:00"/>
    <n v="24.534568828989599"/>
    <d v="2023-12-04T00:00:00"/>
    <d v="2023-12-02T00:00:00"/>
    <n v="269.88025711888599"/>
    <n v="-2"/>
    <s v="On Time"/>
    <n v="24.534568828989634"/>
    <n v="0.28544747130567988"/>
    <n v="3.7053469960178901E-3"/>
    <n v="0.89"/>
    <n v="0"/>
    <n v="32.520109835994134"/>
  </r>
  <r>
    <x v="7"/>
    <x v="4"/>
    <x v="0"/>
    <n v="0.68"/>
    <x v="3"/>
    <s v="Late"/>
    <n v="1"/>
    <n v="196.51"/>
    <x v="0"/>
    <d v="2023-08-10T00:00:00"/>
    <n v="38.8345547860038"/>
    <d v="2023-08-27T00:00:00"/>
    <d v="2023-08-31T00:00:00"/>
    <n v="388.34554786003798"/>
    <n v="4"/>
    <s v="Late"/>
    <n v="38.8345547860038"/>
    <n v="0.44408035976588101"/>
    <n v="2.5750263019891908E-3"/>
    <n v="0.68"/>
    <n v="0"/>
    <n v="29.358857984377295"/>
  </r>
  <r>
    <x v="8"/>
    <x v="3"/>
    <x v="2"/>
    <n v="0.61"/>
    <x v="1"/>
    <s v="On Time"/>
    <n v="0"/>
    <n v="83.731200000000001"/>
    <x v="2"/>
    <d v="2022-06-22T00:00:00"/>
    <n v="25.3516346374523"/>
    <d v="2022-07-11T00:00:00"/>
    <d v="2022-07-08T00:00:00"/>
    <n v="329.57125028688"/>
    <n v="-3"/>
    <s v="On Time"/>
    <n v="25.351634637452307"/>
    <n v="0.36289500509683997"/>
    <n v="3.0342452478167793E-3"/>
    <n v="0.61"/>
    <n v="1"/>
    <n v="45.648927459371301"/>
  </r>
  <r>
    <x v="9"/>
    <x v="6"/>
    <x v="2"/>
    <n v="0.7"/>
    <x v="2"/>
    <s v="Late"/>
    <n v="1"/>
    <n v="99.568799999999996"/>
    <x v="6"/>
    <d v="2024-02-06T00:00:00"/>
    <n v="11.3082591094675"/>
    <d v="2024-02-27T00:00:00"/>
    <d v="2024-02-27T00:00:00"/>
    <n v="135.69910931360999"/>
    <n v="0"/>
    <s v="On Time"/>
    <n v="11.3082591094675"/>
    <n v="0.14820120241340015"/>
    <n v="7.3692451266495129E-3"/>
    <n v="0.7"/>
    <n v="0"/>
    <n v="24.185101402067488"/>
  </r>
  <r>
    <x v="0"/>
    <x v="2"/>
    <x v="1"/>
    <n v="0.83"/>
    <x v="3"/>
    <s v="On Time"/>
    <n v="0"/>
    <n v="16.907999999999902"/>
    <x v="6"/>
    <d v="2021-08-22T00:00:00"/>
    <n v="17.055427179871199"/>
    <d v="2021-09-11T00:00:00"/>
    <d v="2021-09-15T00:00:00"/>
    <n v="187.609698978583"/>
    <n v="4"/>
    <s v="Late"/>
    <n v="17.055427179871181"/>
    <n v="0.10666969490498908"/>
    <n v="5.3302148313459918E-3"/>
    <n v="0.83"/>
    <n v="1"/>
    <n v="47.193300343040164"/>
  </r>
  <r>
    <x v="1"/>
    <x v="7"/>
    <x v="1"/>
    <n v="0.62"/>
    <x v="0"/>
    <s v="Late"/>
    <n v="1"/>
    <n v="977.32159999999999"/>
    <x v="0"/>
    <d v="2023-05-25T00:00:00"/>
    <n v="34.645212507321403"/>
    <d v="2023-06-14T00:00:00"/>
    <d v="2023-06-18T00:00:00"/>
    <n v="346.45212507321401"/>
    <n v="4"/>
    <s v="Late"/>
    <n v="34.645212507321403"/>
    <n v="0.46646597570325843"/>
    <n v="2.8864016919759837E-3"/>
    <n v="0.62"/>
    <n v="0"/>
    <n v="28.015911564824446"/>
  </r>
  <r>
    <x v="2"/>
    <x v="5"/>
    <x v="2"/>
    <n v="0.79"/>
    <x v="1"/>
    <s v="Late"/>
    <n v="1"/>
    <n v="54.6648"/>
    <x v="6"/>
    <d v="2023-10-15T00:00:00"/>
    <n v="40.649246306417602"/>
    <d v="2023-11-06T00:00:00"/>
    <d v="2023-11-12T00:00:00"/>
    <n v="406.49246306417598"/>
    <n v="6"/>
    <s v="Late"/>
    <n v="40.649246306417595"/>
    <n v="9.1657210002333983E-2"/>
    <n v="2.4600702125247586E-3"/>
    <n v="0.79"/>
    <n v="0"/>
    <n v="25.606946306422419"/>
  </r>
  <r>
    <x v="3"/>
    <x v="4"/>
    <x v="2"/>
    <n v="0.83"/>
    <x v="0"/>
    <s v="On Time"/>
    <n v="0"/>
    <n v="176.9468"/>
    <x v="6"/>
    <d v="2021-05-19T00:00:00"/>
    <n v="55.964817573600698"/>
    <d v="2021-05-30T00:00:00"/>
    <d v="2021-06-03T00:00:00"/>
    <n v="615.61299330960696"/>
    <n v="4"/>
    <s v="Late"/>
    <n v="55.964817573600634"/>
    <n v="0.42333107169891487"/>
    <n v="1.6243971632630492E-3"/>
    <n v="0.83"/>
    <n v="1"/>
    <n v="53.415353348876195"/>
  </r>
  <r>
    <x v="4"/>
    <x v="4"/>
    <x v="3"/>
    <n v="0.73"/>
    <x v="0"/>
    <s v="Late"/>
    <n v="1"/>
    <n v="158.368799999999"/>
    <x v="1"/>
    <d v="2023-09-26T00:00:00"/>
    <n v="52.966038826101901"/>
    <d v="2023-10-20T00:00:00"/>
    <d v="2023-10-20T00:00:00"/>
    <n v="264.83019413050903"/>
    <n v="0"/>
    <s v="On Time"/>
    <n v="52.966038826101808"/>
    <n v="0.19412489789274054"/>
    <n v="3.7760044819783551E-3"/>
    <n v="0.73"/>
    <n v="0"/>
    <n v="25.89577809231416"/>
  </r>
  <r>
    <x v="5"/>
    <x v="7"/>
    <x v="2"/>
    <n v="0.9"/>
    <x v="0"/>
    <s v="Late"/>
    <n v="1"/>
    <n v="-6.3769999999999998"/>
    <x v="0"/>
    <d v="2021-04-11T00:00:00"/>
    <n v="36.945626478723"/>
    <d v="2021-04-25T00:00:00"/>
    <d v="2021-04-28T00:00:00"/>
    <n v="332.510638308507"/>
    <n v="3"/>
    <s v="Late"/>
    <n v="36.945626478723"/>
    <n v="0"/>
    <n v="3.0074225747694396E-3"/>
    <n v="0.9"/>
    <n v="0"/>
    <n v="27.090222677243087"/>
  </r>
  <r>
    <x v="6"/>
    <x v="3"/>
    <x v="3"/>
    <n v="0.64"/>
    <x v="3"/>
    <s v="Late"/>
    <n v="1"/>
    <n v="145.7568"/>
    <x v="3"/>
    <d v="2021-10-22T00:00:00"/>
    <n v="57.812721565646399"/>
    <d v="2021-11-03T00:00:00"/>
    <d v="2021-11-01T00:00:00"/>
    <n v="462.50177252517102"/>
    <n v="-2"/>
    <s v="On Time"/>
    <n v="57.812721565646378"/>
    <n v="0.25463403589831746"/>
    <n v="2.1621538757358523E-3"/>
    <n v="0.64"/>
    <n v="0"/>
    <n v="24.357545334238427"/>
  </r>
  <r>
    <x v="7"/>
    <x v="1"/>
    <x v="0"/>
    <n v="0.63"/>
    <x v="3"/>
    <s v="Late"/>
    <n v="1"/>
    <n v="283.584"/>
    <x v="3"/>
    <d v="2023-03-16T00:00:00"/>
    <n v="69.747540784407903"/>
    <d v="2023-04-04T00:00:00"/>
    <d v="2023-04-09T00:00:00"/>
    <n v="836.97048941289495"/>
    <n v="5"/>
    <s v="Late"/>
    <n v="69.747540784407917"/>
    <n v="0.12749451059307174"/>
    <n v="1.1947852554532292E-3"/>
    <n v="0.63"/>
    <n v="0"/>
    <n v="21.485733769525034"/>
  </r>
  <r>
    <x v="8"/>
    <x v="2"/>
    <x v="2"/>
    <n v="0.88"/>
    <x v="1"/>
    <s v="Late"/>
    <n v="1"/>
    <n v="21.673199999999898"/>
    <x v="6"/>
    <d v="2022-02-23T00:00:00"/>
    <n v="33.849874758262096"/>
    <d v="2022-03-18T00:00:00"/>
    <d v="2022-03-19T00:00:00"/>
    <n v="169.24937379131001"/>
    <n v="1"/>
    <s v="Late"/>
    <n v="33.849874758262004"/>
    <n v="0.49332167927671783"/>
    <n v="5.9084413584479939E-3"/>
    <n v="0.88"/>
    <n v="0"/>
    <n v="36.443686826287795"/>
  </r>
  <r>
    <x v="9"/>
    <x v="0"/>
    <x v="0"/>
    <n v="0.79"/>
    <x v="3"/>
    <s v="Late"/>
    <n v="1"/>
    <n v="193.14179999999999"/>
    <x v="3"/>
    <d v="2022-06-22T00:00:00"/>
    <n v="31.513777904906"/>
    <d v="2022-07-14T00:00:00"/>
    <d v="2022-07-20T00:00:00"/>
    <n v="252.110223239248"/>
    <n v="6"/>
    <s v="Late"/>
    <n v="31.513777904906"/>
    <n v="0.27139548588950535"/>
    <n v="3.9665190373934902E-3"/>
    <n v="0.79"/>
    <n v="0"/>
    <n v="29.246905288911911"/>
  </r>
  <r>
    <x v="0"/>
    <x v="6"/>
    <x v="1"/>
    <n v="0.87"/>
    <x v="0"/>
    <s v="On Time"/>
    <n v="0"/>
    <n v="324.59100000000001"/>
    <x v="3"/>
    <d v="2023-08-09T00:00:00"/>
    <n v="79.868512681948005"/>
    <d v="2023-08-31T00:00:00"/>
    <d v="2023-08-30T00:00:00"/>
    <n v="798.68512681948005"/>
    <n v="-1"/>
    <s v="On Time"/>
    <n v="79.868512681948005"/>
    <n v="0.87812499154585122"/>
    <n v="1.2520578716448559E-3"/>
    <n v="0.87"/>
    <n v="1"/>
    <n v="63.700061567066378"/>
  </r>
  <r>
    <x v="1"/>
    <x v="0"/>
    <x v="1"/>
    <n v="0.77"/>
    <x v="3"/>
    <s v="Late"/>
    <n v="1"/>
    <n v="150.731999999999"/>
    <x v="6"/>
    <d v="2023-12-05T00:00:00"/>
    <n v="31.0039281436955"/>
    <d v="2023-12-15T00:00:00"/>
    <d v="2023-12-12T00:00:00"/>
    <n v="403.05106586804101"/>
    <n v="-3"/>
    <s v="On Time"/>
    <n v="31.003928143695461"/>
    <n v="0.16564465719824237"/>
    <n v="2.481075190426119E-3"/>
    <n v="0.77"/>
    <n v="0"/>
    <n v="26.48732539967763"/>
  </r>
  <r>
    <x v="2"/>
    <x v="7"/>
    <x v="2"/>
    <n v="0.7"/>
    <x v="1"/>
    <s v="On Time"/>
    <n v="0"/>
    <n v="386.28359999999998"/>
    <x v="3"/>
    <d v="2022-06-18T00:00:00"/>
    <n v="67.821317495207296"/>
    <d v="2022-07-12T00:00:00"/>
    <d v="2022-07-15T00:00:00"/>
    <n v="678.21317495207302"/>
    <n v="3"/>
    <s v="Late"/>
    <n v="67.821317495207296"/>
    <n v="0.27139548588950535"/>
    <n v="1.4744626570704212E-3"/>
    <n v="0.7"/>
    <n v="1"/>
    <n v="46.472143597502217"/>
  </r>
  <r>
    <x v="3"/>
    <x v="4"/>
    <x v="2"/>
    <n v="0.92"/>
    <x v="3"/>
    <s v="Late"/>
    <n v="1"/>
    <n v="-1.75000000000002"/>
    <x v="2"/>
    <d v="2022-11-11T00:00:00"/>
    <n v="53.756098712978797"/>
    <d v="2022-12-02T00:00:00"/>
    <d v="2022-12-05T00:00:00"/>
    <n v="430.04878970382998"/>
    <n v="3"/>
    <s v="Late"/>
    <n v="53.756098712978748"/>
    <n v="0"/>
    <n v="2.3253175545237307E-3"/>
    <n v="0.92"/>
    <n v="0"/>
    <n v="27.669759526635712"/>
  </r>
  <r>
    <x v="4"/>
    <x v="3"/>
    <x v="0"/>
    <n v="0.91"/>
    <x v="2"/>
    <s v="Late"/>
    <n v="1"/>
    <n v="412.58249999999998"/>
    <x v="4"/>
    <d v="2022-10-07T00:00:00"/>
    <n v="53.453299018083797"/>
    <d v="2022-10-21T00:00:00"/>
    <d v="2022-10-25T00:00:00"/>
    <n v="855.25278428934098"/>
    <n v="4"/>
    <s v="Late"/>
    <n v="53.453299018083811"/>
    <n v="0.71755662128847397"/>
    <n v="1.1692449511648587E-3"/>
    <n v="0.91"/>
    <n v="0"/>
    <n v="41.68620977430443"/>
  </r>
  <r>
    <x v="5"/>
    <x v="4"/>
    <x v="3"/>
    <n v="0.87"/>
    <x v="0"/>
    <s v="Late"/>
    <n v="1"/>
    <n v="742.8"/>
    <x v="0"/>
    <d v="2023-07-19T00:00:00"/>
    <n v="47.668050647985503"/>
    <d v="2023-08-09T00:00:00"/>
    <d v="2023-08-10T00:00:00"/>
    <n v="953.36101295971105"/>
    <n v="1"/>
    <s v="Late"/>
    <n v="47.668050647985552"/>
    <n v="0.71952341744563375"/>
    <n v="1.0489205939893621E-3"/>
    <n v="0.87"/>
    <n v="0"/>
    <n v="40.521935966732357"/>
  </r>
  <r>
    <x v="6"/>
    <x v="6"/>
    <x v="1"/>
    <n v="0.71"/>
    <x v="0"/>
    <s v="Late"/>
    <n v="1"/>
    <n v="4.9603999999999999"/>
    <x v="4"/>
    <d v="2021-05-31T00:00:00"/>
    <n v="71.015488882917893"/>
    <d v="2021-06-17T00:00:00"/>
    <d v="2021-06-20T00:00:00"/>
    <n v="852.185866595015"/>
    <n v="3"/>
    <s v="Late"/>
    <n v="71.015488882917921"/>
    <n v="8.0394940713512386E-2"/>
    <n v="1.1734529275820892E-3"/>
    <n v="0.71"/>
    <n v="0"/>
    <n v="22.943102402097708"/>
  </r>
  <r>
    <x v="7"/>
    <x v="4"/>
    <x v="1"/>
    <n v="0.83"/>
    <x v="0"/>
    <s v="Late"/>
    <n v="1"/>
    <n v="121.983999999999"/>
    <x v="6"/>
    <d v="2023-06-19T00:00:00"/>
    <n v="10.066587342421499"/>
    <d v="2023-07-08T00:00:00"/>
    <d v="2023-07-12T00:00:00"/>
    <n v="80.532698739372506"/>
    <n v="4"/>
    <s v="Late"/>
    <n v="10.066587342421563"/>
    <n v="0.53467985132197005"/>
    <n v="1.2417316390157172E-2"/>
    <n v="0.83"/>
    <n v="0"/>
    <n v="35.966116518144112"/>
  </r>
  <r>
    <x v="8"/>
    <x v="4"/>
    <x v="3"/>
    <n v="0.74"/>
    <x v="0"/>
    <s v="On Time"/>
    <n v="0"/>
    <n v="155.88959999999901"/>
    <x v="1"/>
    <d v="2021-01-19T00:00:00"/>
    <n v="31.518047838176798"/>
    <d v="2021-02-07T00:00:00"/>
    <d v="2021-02-09T00:00:00"/>
    <n v="441.25266973447498"/>
    <n v="2"/>
    <s v="Late"/>
    <n v="31.518047838176784"/>
    <n v="0.33046389287422073"/>
    <n v="2.2662752399928883E-3"/>
    <n v="0.74"/>
    <n v="1"/>
    <n v="48.877266114684204"/>
  </r>
  <r>
    <x v="9"/>
    <x v="6"/>
    <x v="0"/>
    <n v="0.64"/>
    <x v="3"/>
    <s v="Late"/>
    <n v="1"/>
    <n v="10.1291999999999"/>
    <x v="0"/>
    <d v="2021-10-13T00:00:00"/>
    <n v="30.1562942247126"/>
    <d v="2021-10-26T00:00:00"/>
    <d v="2021-10-25T00:00:00"/>
    <n v="331.719236471839"/>
    <n v="-1"/>
    <s v="On Time"/>
    <n v="30.156294224712635"/>
    <n v="6.5591222385403561E-2"/>
    <n v="3.0145975573680488E-3"/>
    <n v="0.64"/>
    <n v="0"/>
    <n v="20.602262374429113"/>
  </r>
  <r>
    <x v="2"/>
    <x v="2"/>
    <x v="0"/>
    <n v="0.96"/>
    <x v="1"/>
    <s v="Late"/>
    <n v="1"/>
    <n v="561.33550000000002"/>
    <x v="6"/>
    <d v="2022-05-12T00:00:00"/>
    <n v="5.2601333348385797"/>
    <d v="2022-05-23T00:00:00"/>
    <d v="2022-05-27T00:00:00"/>
    <n v="68.381733352901605"/>
    <n v="4"/>
    <s v="Late"/>
    <n v="5.260133334838585"/>
    <n v="0.90554707280618763"/>
    <n v="1.4623788414944699E-2"/>
    <n v="0.96"/>
    <n v="0"/>
    <n v="47.349655108572094"/>
  </r>
  <r>
    <x v="3"/>
    <x v="2"/>
    <x v="2"/>
    <n v="0.65"/>
    <x v="1"/>
    <s v="Late"/>
    <n v="1"/>
    <n v="74.355199999999996"/>
    <x v="1"/>
    <d v="2023-06-17T00:00:00"/>
    <n v="24.218698954452599"/>
    <d v="2023-06-27T00:00:00"/>
    <d v="2023-07-02T00:00:00"/>
    <n v="411.71788222569398"/>
    <n v="5"/>
    <s v="Late"/>
    <n v="24.218698954452588"/>
    <n v="0.18691829363451343"/>
    <n v="2.4288476239946841E-3"/>
    <n v="0.65"/>
    <n v="0"/>
    <n v="23.31123130141011"/>
  </r>
  <r>
    <x v="4"/>
    <x v="6"/>
    <x v="2"/>
    <n v="0.97"/>
    <x v="3"/>
    <s v="On Time"/>
    <n v="0"/>
    <n v="204.5616"/>
    <x v="4"/>
    <d v="2023-12-25T00:00:00"/>
    <n v="67.702057418375503"/>
    <d v="2024-01-09T00:00:00"/>
    <d v="2024-01-07T00:00:00"/>
    <n v="677.020574183755"/>
    <n v="-2"/>
    <s v="On Time"/>
    <n v="67.702057418375503"/>
    <n v="0.77274238294117281"/>
    <n v="1.477059986257645E-3"/>
    <n v="0.97"/>
    <n v="1"/>
    <n v="64.599159458411194"/>
  </r>
  <r>
    <x v="5"/>
    <x v="3"/>
    <x v="2"/>
    <n v="0.77"/>
    <x v="0"/>
    <s v="Late"/>
    <n v="1"/>
    <n v="768.59649999999999"/>
    <x v="6"/>
    <d v="2021-06-27T00:00:00"/>
    <n v="10.108317614951901"/>
    <d v="2021-07-08T00:00:00"/>
    <d v="2021-07-06T00:00:00"/>
    <n v="101.08317614951901"/>
    <n v="-2"/>
    <s v="On Time"/>
    <n v="10.108317614951901"/>
    <n v="0.67794417740237523"/>
    <n v="9.8928430832132923E-3"/>
    <n v="0.77"/>
    <n v="0"/>
    <n v="36.9556688405439"/>
  </r>
  <r>
    <x v="6"/>
    <x v="7"/>
    <x v="1"/>
    <n v="0.67"/>
    <x v="2"/>
    <s v="Late"/>
    <n v="1"/>
    <n v="656.952"/>
    <x v="0"/>
    <d v="2022-03-26T00:00:00"/>
    <n v="79.739358192736105"/>
    <d v="2022-04-08T00:00:00"/>
    <d v="2022-04-13T00:00:00"/>
    <n v="717.65422373462502"/>
    <n v="5"/>
    <s v="Late"/>
    <n v="79.73935819273612"/>
    <n v="0.44932329839709129"/>
    <n v="1.3934287111083473E-3"/>
    <n v="0.67"/>
    <n v="0"/>
    <n v="29.128268829275079"/>
  </r>
  <r>
    <x v="7"/>
    <x v="5"/>
    <x v="2"/>
    <n v="0.81"/>
    <x v="3"/>
    <s v="Late"/>
    <n v="1"/>
    <n v="171.943199999999"/>
    <x v="0"/>
    <d v="2022-12-26T00:00:00"/>
    <n v="48.221386657929102"/>
    <d v="2023-01-15T00:00:00"/>
    <d v="2023-01-17T00:00:00"/>
    <n v="433.992479921361"/>
    <n v="2"/>
    <s v="Late"/>
    <n v="48.221386657929003"/>
    <n v="0.24157360200695857"/>
    <n v="2.3041873909455737E-3"/>
    <n v="0.81"/>
    <n v="0"/>
    <n v="29.20059766186754"/>
  </r>
  <r>
    <x v="8"/>
    <x v="4"/>
    <x v="0"/>
    <n v="0.94"/>
    <x v="2"/>
    <s v="Late"/>
    <n v="1"/>
    <n v="115.75839999999999"/>
    <x v="5"/>
    <d v="2023-06-20T00:00:00"/>
    <n v="58.807176319403197"/>
    <d v="2023-07-06T00:00:00"/>
    <d v="2023-07-03T00:00:00"/>
    <n v="588.07176319403197"/>
    <n v="-3"/>
    <s v="On Time"/>
    <n v="58.807176319403197"/>
    <n v="0.14703616916201434"/>
    <n v="1.7004727357910125E-3"/>
    <n v="0.94"/>
    <n v="0"/>
    <n v="31.191737565314014"/>
  </r>
  <r>
    <x v="9"/>
    <x v="3"/>
    <x v="3"/>
    <n v="0.89"/>
    <x v="0"/>
    <s v="Late"/>
    <n v="1"/>
    <n v="582.61849999999902"/>
    <x v="2"/>
    <d v="2023-08-12T00:00:00"/>
    <n v="72.791096284076602"/>
    <d v="2023-09-03T00:00:00"/>
    <d v="2023-09-01T00:00:00"/>
    <n v="1601.4041182496801"/>
    <n v="-2"/>
    <s v="On Time"/>
    <n v="72.791096284076374"/>
    <n v="0.51076934271438557"/>
    <n v="6.244519972216574E-4"/>
    <n v="0.89"/>
    <n v="0"/>
    <n v="36.934120414204365"/>
  </r>
  <r>
    <x v="0"/>
    <x v="4"/>
    <x v="0"/>
    <n v="0.91"/>
    <x v="1"/>
    <s v="Late"/>
    <n v="1"/>
    <n v="146.44739999999899"/>
    <x v="3"/>
    <d v="2024-02-02T00:00:00"/>
    <n v="26.651269024724701"/>
    <d v="2024-02-15T00:00:00"/>
    <d v="2024-02-20T00:00:00"/>
    <n v="346.466497321421"/>
    <n v="5"/>
    <s v="Late"/>
    <n v="26.651269024724691"/>
    <n v="0.26070437895002008"/>
    <n v="2.8862819572199167E-3"/>
    <n v="0.91"/>
    <n v="0"/>
    <n v="32.600676037717001"/>
  </r>
  <r>
    <x v="1"/>
    <x v="5"/>
    <x v="1"/>
    <n v="0.86"/>
    <x v="0"/>
    <s v="Late"/>
    <n v="1"/>
    <n v="308.710499999999"/>
    <x v="1"/>
    <d v="2021-01-22T00:00:00"/>
    <n v="43.156867770378597"/>
    <d v="2021-02-09T00:00:00"/>
    <d v="2021-02-10T00:00:00"/>
    <n v="474.72554547416502"/>
    <n v="1"/>
    <s v="Late"/>
    <n v="43.156867770378639"/>
    <n v="0.39808931365778949"/>
    <n v="2.1064802800978E-3"/>
    <n v="0.86"/>
    <n v="0"/>
    <n v="33.824980681558728"/>
  </r>
  <r>
    <x v="2"/>
    <x v="7"/>
    <x v="0"/>
    <n v="0.87"/>
    <x v="1"/>
    <s v="Late"/>
    <n v="1"/>
    <n v="137.444999999999"/>
    <x v="5"/>
    <d v="2021-11-20T00:00:00"/>
    <n v="55.369876864231699"/>
    <d v="2021-12-12T00:00:00"/>
    <d v="2021-12-17T00:00:00"/>
    <n v="387.589138049621"/>
    <n v="5"/>
    <s v="Late"/>
    <n v="55.369876864231571"/>
    <n v="0.12222711326316932"/>
    <n v="2.5800516625209846E-3"/>
    <n v="0.87"/>
    <n v="0"/>
    <n v="28.621943815139016"/>
  </r>
  <r>
    <x v="3"/>
    <x v="2"/>
    <x v="2"/>
    <n v="0.93"/>
    <x v="0"/>
    <s v="Late"/>
    <n v="1"/>
    <n v="135.77679999999901"/>
    <x v="3"/>
    <d v="2021-09-10T00:00:00"/>
    <n v="64.691781205039504"/>
    <d v="2021-09-30T00:00:00"/>
    <d v="2021-09-27T00:00:00"/>
    <n v="323.458906025197"/>
    <n v="-3"/>
    <s v="On Time"/>
    <n v="64.691781205039405"/>
    <n v="0.18107030569036517"/>
    <n v="3.0915828297586011E-3"/>
    <n v="0.93"/>
    <n v="0"/>
    <n v="31.614153598700064"/>
  </r>
  <r>
    <x v="4"/>
    <x v="3"/>
    <x v="1"/>
    <n v="0.7"/>
    <x v="1"/>
    <s v="Late"/>
    <n v="1"/>
    <n v="293.45759999999899"/>
    <x v="3"/>
    <d v="2023-09-27T00:00:00"/>
    <n v="55.6176359646497"/>
    <d v="2023-10-18T00:00:00"/>
    <d v="2023-10-18T00:00:00"/>
    <n v="723.02926754044699"/>
    <n v="0"/>
    <s v="On Time"/>
    <n v="55.617635964649772"/>
    <n v="0.76481479164842248"/>
    <n v="1.3830698768277163E-3"/>
    <n v="0.7"/>
    <n v="0"/>
    <n v="36.337787929273283"/>
  </r>
  <r>
    <x v="5"/>
    <x v="1"/>
    <x v="3"/>
    <n v="0.79"/>
    <x v="0"/>
    <s v="On Time"/>
    <n v="0"/>
    <n v="272.591599999999"/>
    <x v="6"/>
    <d v="2022-12-09T00:00:00"/>
    <n v="77.427361550386195"/>
    <d v="2022-12-25T00:00:00"/>
    <d v="2022-12-26T00:00:00"/>
    <n v="464.564169302317"/>
    <n v="1"/>
    <s v="Late"/>
    <n v="77.427361550386166"/>
    <n v="0.46616648847134312"/>
    <n v="2.1525551604675004E-3"/>
    <n v="0.79"/>
    <n v="1"/>
    <n v="53.087906424240884"/>
  </r>
  <r>
    <x v="6"/>
    <x v="1"/>
    <x v="2"/>
    <n v="0.69"/>
    <x v="1"/>
    <s v="Late"/>
    <n v="1"/>
    <n v="63.8688"/>
    <x v="3"/>
    <d v="2022-02-20T00:00:00"/>
    <n v="22.447384790188799"/>
    <d v="2022-03-15T00:00:00"/>
    <d v="2022-03-17T00:00:00"/>
    <n v="157.13169353132099"/>
    <n v="2"/>
    <s v="Late"/>
    <n v="22.447384790188714"/>
    <n v="0.17846987499329361"/>
    <n v="6.3640884758915323E-3"/>
    <n v="0.69"/>
    <n v="0"/>
    <n v="24.460320154142618"/>
  </r>
  <r>
    <x v="7"/>
    <x v="5"/>
    <x v="1"/>
    <n v="0.99"/>
    <x v="2"/>
    <s v="Late"/>
    <n v="1"/>
    <n v="22.978000000000101"/>
    <x v="2"/>
    <d v="2022-10-11T00:00:00"/>
    <n v="77.814999632381202"/>
    <d v="2022-10-31T00:00:00"/>
    <d v="2022-10-31T00:00:00"/>
    <n v="778.14999632381205"/>
    <n v="0"/>
    <s v="On Time"/>
    <n v="77.814999632381202"/>
    <n v="6.3286676692060936E-2"/>
    <n v="1.2850992799900616E-3"/>
    <n v="0.99"/>
    <n v="0"/>
    <n v="31.00428651224092"/>
  </r>
  <r>
    <x v="8"/>
    <x v="1"/>
    <x v="3"/>
    <n v="0.97"/>
    <x v="1"/>
    <s v="Late"/>
    <n v="1"/>
    <n v="225.45320000000001"/>
    <x v="0"/>
    <d v="2024-01-29T00:00:00"/>
    <n v="49.6130584767023"/>
    <d v="2024-02-11T00:00:00"/>
    <d v="2024-02-11T00:00:00"/>
    <n v="545.74364324372505"/>
    <n v="0"/>
    <s v="On Time"/>
    <n v="49.613058476702278"/>
    <n v="0.74256718746088779"/>
    <n v="1.832362158276954E-3"/>
    <n v="0.97"/>
    <n v="0"/>
    <n v="44.006314613966069"/>
  </r>
  <r>
    <x v="9"/>
    <x v="2"/>
    <x v="2"/>
    <n v="0.62"/>
    <x v="2"/>
    <s v="On Time"/>
    <n v="0"/>
    <n v="266.33819999999997"/>
    <x v="5"/>
    <d v="2023-08-01T00:00:00"/>
    <n v="72.254953044744198"/>
    <d v="2023-08-11T00:00:00"/>
    <d v="2023-08-08T00:00:00"/>
    <n v="939.31438958167496"/>
    <n v="-3"/>
    <s v="On Time"/>
    <n v="72.254953044744227"/>
    <n v="0.863281971695673"/>
    <n v="1.0646062820834157E-3"/>
    <n v="0.62"/>
    <n v="1"/>
    <n v="55.897577622375969"/>
  </r>
  <r>
    <x v="3"/>
    <x v="5"/>
    <x v="2"/>
    <n v="0.88"/>
    <x v="3"/>
    <s v="Late"/>
    <n v="1"/>
    <n v="363.37619999999902"/>
    <x v="3"/>
    <d v="2023-11-10T00:00:00"/>
    <n v="15.403970799743901"/>
    <d v="2023-11-23T00:00:00"/>
    <d v="2023-11-29T00:00:00"/>
    <n v="92.423824798463798"/>
    <n v="6"/>
    <s v="Late"/>
    <n v="15.403970799743966"/>
    <n v="0.48520922913977682"/>
    <n v="1.0819721020857613E-2"/>
    <n v="0.88"/>
    <n v="0"/>
    <n v="36.428776213421266"/>
  </r>
  <r>
    <x v="4"/>
    <x v="2"/>
    <x v="1"/>
    <n v="0.96"/>
    <x v="0"/>
    <s v="Late"/>
    <n v="1"/>
    <n v="92.376000000000005"/>
    <x v="6"/>
    <d v="2022-07-06T00:00:00"/>
    <n v="31.284249493155802"/>
    <d v="2022-07-22T00:00:00"/>
    <d v="2022-07-28T00:00:00"/>
    <n v="469.26374239733701"/>
    <n v="6"/>
    <s v="Late"/>
    <n v="31.284249493155802"/>
    <n v="0.20986150994147798"/>
    <n v="2.1309977943134496E-3"/>
    <n v="0.96"/>
    <n v="0"/>
    <n v="33.061160132658962"/>
  </r>
  <r>
    <x v="5"/>
    <x v="7"/>
    <x v="2"/>
    <n v="0.67"/>
    <x v="2"/>
    <s v="On Time"/>
    <n v="0"/>
    <n v="-24.839500000000001"/>
    <x v="2"/>
    <d v="2021-02-21T00:00:00"/>
    <n v="19.768778151015699"/>
    <d v="2021-03-04T00:00:00"/>
    <d v="2021-03-08T00:00:00"/>
    <n v="197.68778151015701"/>
    <n v="4"/>
    <s v="Late"/>
    <n v="19.768778151015702"/>
    <n v="0"/>
    <n v="5.0584815731194843E-3"/>
    <n v="0.67"/>
    <n v="1"/>
    <n v="40.251754447193591"/>
  </r>
  <r>
    <x v="6"/>
    <x v="4"/>
    <x v="2"/>
    <n v="0.82"/>
    <x v="0"/>
    <s v="Late"/>
    <n v="1"/>
    <n v="374.18839999999898"/>
    <x v="4"/>
    <d v="2022-12-25T00:00:00"/>
    <n v="52.777093124989499"/>
    <d v="2023-01-08T00:00:00"/>
    <d v="2023-01-13T00:00:00"/>
    <n v="474.99383812490601"/>
    <n v="5"/>
    <s v="Late"/>
    <n v="52.777093124989555"/>
    <n v="0.51180973984158706"/>
    <n v="2.1052904684987443E-3"/>
    <n v="0.82"/>
    <n v="0"/>
    <n v="34.899353510886698"/>
  </r>
  <r>
    <x v="7"/>
    <x v="7"/>
    <x v="2"/>
    <n v="0.96"/>
    <x v="1"/>
    <s v="Late"/>
    <n v="1"/>
    <n v="316.524"/>
    <x v="0"/>
    <d v="2021-02-05T00:00:00"/>
    <n v="4.0285093912714203"/>
    <d v="2021-03-01T00:00:00"/>
    <d v="2021-03-05T00:00:00"/>
    <n v="68.484659651614194"/>
    <n v="4"/>
    <s v="Late"/>
    <n v="4.0285093912714229"/>
    <n v="0.82080990809700638"/>
    <n v="1.460181017306742E-2"/>
    <n v="0.96"/>
    <n v="0"/>
    <n v="45.654252467132153"/>
  </r>
  <r>
    <x v="8"/>
    <x v="7"/>
    <x v="3"/>
    <n v="0.61"/>
    <x v="0"/>
    <s v="Late"/>
    <n v="1"/>
    <n v="466.92399999999998"/>
    <x v="0"/>
    <d v="2023-08-31T00:00:00"/>
    <n v="14.180684894788"/>
    <d v="2023-09-18T00:00:00"/>
    <d v="2023-09-19T00:00:00"/>
    <n v="141.80684894788001"/>
    <n v="1"/>
    <s v="Late"/>
    <n v="14.180684894788001"/>
    <n v="0.33506706737738284"/>
    <n v="7.0518455731820263E-3"/>
    <n v="0.61"/>
    <n v="0"/>
    <n v="25.212896714743117"/>
  </r>
  <r>
    <x v="9"/>
    <x v="2"/>
    <x v="0"/>
    <n v="0.87"/>
    <x v="1"/>
    <s v="Late"/>
    <n v="1"/>
    <n v="145.375"/>
    <x v="5"/>
    <d v="2024-04-08T00:00:00"/>
    <n v="34.739063180511401"/>
    <d v="2024-04-25T00:00:00"/>
    <d v="2024-04-22T00:00:00"/>
    <n v="347.39063180511403"/>
    <n v="-3"/>
    <s v="On Time"/>
    <n v="34.739063180511401"/>
    <n v="0.15923218050877624"/>
    <n v="2.8786038207299714E-3"/>
    <n v="0.87"/>
    <n v="0"/>
    <n v="29.371001724797424"/>
  </r>
  <r>
    <x v="0"/>
    <x v="5"/>
    <x v="1"/>
    <n v="0.72"/>
    <x v="0"/>
    <s v="Late"/>
    <n v="1"/>
    <n v="388.59799999999899"/>
    <x v="0"/>
    <d v="2023-11-16T00:00:00"/>
    <n v="42.523389185698598"/>
    <d v="2023-11-30T00:00:00"/>
    <d v="2023-11-28T00:00:00"/>
    <n v="425.23389185698602"/>
    <n v="-2"/>
    <s v="On Time"/>
    <n v="42.523389185698605"/>
    <n v="0.50923734566202372"/>
    <n v="2.3516469856930369E-3"/>
    <n v="0.72"/>
    <n v="0"/>
    <n v="31.855296322811267"/>
  </r>
  <r>
    <x v="1"/>
    <x v="5"/>
    <x v="1"/>
    <n v="0.96"/>
    <x v="2"/>
    <s v="Late"/>
    <n v="1"/>
    <n v="594.78399999999897"/>
    <x v="3"/>
    <d v="2023-10-31T00:00:00"/>
    <n v="39.067968311405302"/>
    <d v="2023-11-13T00:00:00"/>
    <d v="2023-11-11T00:00:00"/>
    <n v="546.95155635967501"/>
    <n v="-2"/>
    <s v="On Time"/>
    <n v="39.067968311405359"/>
    <n v="0.31372052593380367"/>
    <n v="1.8283154849319061E-3"/>
    <n v="0.96"/>
    <n v="0"/>
    <n v="35.129259983224024"/>
  </r>
  <r>
    <x v="2"/>
    <x v="1"/>
    <x v="2"/>
    <n v="0.98"/>
    <x v="2"/>
    <s v="Late"/>
    <n v="1"/>
    <n v="43.142399999999803"/>
    <x v="6"/>
    <d v="2021-09-29T00:00:00"/>
    <n v="76.990580408196905"/>
    <d v="2021-10-16T00:00:00"/>
    <d v="2021-10-17T00:00:00"/>
    <n v="769.90580408196899"/>
    <n v="1"/>
    <s v="Late"/>
    <n v="76.990580408196905"/>
    <n v="4.246874379837292E-2"/>
    <n v="1.2988601913352165E-3"/>
    <n v="0.98"/>
    <n v="0"/>
    <n v="30.28834068170751"/>
  </r>
  <r>
    <x v="3"/>
    <x v="0"/>
    <x v="2"/>
    <n v="0.97"/>
    <x v="3"/>
    <s v="Late"/>
    <n v="1"/>
    <n v="3.3296000000000201"/>
    <x v="0"/>
    <d v="2023-02-21T00:00:00"/>
    <n v="72.663596736847694"/>
    <d v="2023-03-04T00:00:00"/>
    <d v="2023-03-04T00:00:00"/>
    <n v="217.990790210543"/>
    <n v="0"/>
    <s v="On Time"/>
    <n v="72.663596736847666"/>
    <n v="4.5448489891478632E-3"/>
    <n v="4.587349763878399E-3"/>
    <n v="0.97"/>
    <n v="0"/>
    <n v="29.328517472699307"/>
  </r>
  <r>
    <x v="4"/>
    <x v="4"/>
    <x v="1"/>
    <n v="0.78"/>
    <x v="3"/>
    <s v="Late"/>
    <n v="1"/>
    <n v="32.944200000000102"/>
    <x v="0"/>
    <d v="2022-07-28T00:00:00"/>
    <n v="64.294434686751799"/>
    <d v="2022-08-10T00:00:00"/>
    <d v="2022-08-16T00:00:00"/>
    <n v="707.23878155426996"/>
    <n v="6"/>
    <s v="Late"/>
    <n v="64.294434686751814"/>
    <n v="5.2749188928501937E-2"/>
    <n v="1.4139496109112407E-3"/>
    <n v="0.78"/>
    <n v="0"/>
    <n v="24.497402266897375"/>
  </r>
  <r>
    <x v="5"/>
    <x v="2"/>
    <x v="2"/>
    <n v="0.94"/>
    <x v="2"/>
    <s v="Late"/>
    <n v="1"/>
    <n v="516.63149999999905"/>
    <x v="4"/>
    <d v="2023-03-19T00:00:00"/>
    <n v="44.209428232733501"/>
    <d v="2023-04-12T00:00:00"/>
    <d v="2023-04-11T00:00:00"/>
    <n v="530.51313879280201"/>
    <n v="-1"/>
    <s v="On Time"/>
    <n v="44.209428232733501"/>
    <n v="0.32200284025837334"/>
    <n v="1.8849674529749234E-3"/>
    <n v="0.94"/>
    <n v="0"/>
    <n v="34.696605828756709"/>
  </r>
  <r>
    <x v="6"/>
    <x v="1"/>
    <x v="3"/>
    <n v="0.93"/>
    <x v="3"/>
    <s v="Late"/>
    <n v="1"/>
    <n v="861.85199999999998"/>
    <x v="4"/>
    <d v="2023-12-20T00:00:00"/>
    <n v="45.4781581323832"/>
    <d v="2024-01-05T00:00:00"/>
    <d v="2024-01-08T00:00:00"/>
    <n v="545.737897588598"/>
    <n v="3"/>
    <s v="Late"/>
    <n v="45.478158132383165"/>
    <n v="0.81595301121323327"/>
    <n v="1.8323814498106294E-3"/>
    <n v="0.93"/>
    <n v="0"/>
    <n v="44.274031667758983"/>
  </r>
  <r>
    <x v="7"/>
    <x v="3"/>
    <x v="1"/>
    <n v="0.72"/>
    <x v="3"/>
    <s v="Late"/>
    <n v="1"/>
    <n v="52.708599999999997"/>
    <x v="1"/>
    <d v="2022-08-26T00:00:00"/>
    <n v="23.925639151508001"/>
    <d v="2022-09-16T00:00:00"/>
    <d v="2022-09-16T00:00:00"/>
    <n v="358.88458727262002"/>
    <n v="0"/>
    <s v="On Time"/>
    <n v="23.925639151508001"/>
    <n v="0.40353058446499962"/>
    <n v="2.7864111067003512E-3"/>
    <n v="0.72"/>
    <n v="0"/>
    <n v="29.754204022501003"/>
  </r>
  <r>
    <x v="8"/>
    <x v="0"/>
    <x v="2"/>
    <n v="0.92"/>
    <x v="3"/>
    <s v="Late"/>
    <n v="1"/>
    <n v="182.76480000000001"/>
    <x v="2"/>
    <d v="2021-12-10T00:00:00"/>
    <n v="55.907119335583801"/>
    <d v="2021-12-31T00:00:00"/>
    <d v="2022-01-01T00:00:00"/>
    <n v="726.79255136258905"/>
    <n v="1"/>
    <s v="Late"/>
    <n v="55.907119335583772"/>
    <n v="0.77107880694340847"/>
    <n v="1.3759084323651946E-3"/>
    <n v="0.92"/>
    <n v="0"/>
    <n v="43.062853391839127"/>
  </r>
  <r>
    <x v="9"/>
    <x v="0"/>
    <x v="1"/>
    <n v="0.61"/>
    <x v="0"/>
    <s v="Late"/>
    <n v="1"/>
    <n v="84.45"/>
    <x v="3"/>
    <d v="2023-07-14T00:00:00"/>
    <n v="52.1027493660646"/>
    <d v="2023-07-29T00:00:00"/>
    <d v="2023-07-27T00:00:00"/>
    <n v="416.82199492851697"/>
    <n v="-2"/>
    <s v="On Time"/>
    <n v="52.102749366064621"/>
    <n v="0.51985226223453374"/>
    <n v="2.3991056426172887E-3"/>
    <n v="0.61"/>
    <n v="0"/>
    <n v="28.769018413969192"/>
  </r>
  <r>
    <x v="5"/>
    <x v="2"/>
    <x v="0"/>
    <n v="0.83"/>
    <x v="3"/>
    <s v="On Time"/>
    <n v="0"/>
    <n v="284.34640000000002"/>
    <x v="0"/>
    <d v="2021-04-25T00:00:00"/>
    <n v="37.569602235796701"/>
    <d v="2021-05-05T00:00:00"/>
    <d v="2021-05-10T00:00:00"/>
    <n v="262.98721565057701"/>
    <n v="5"/>
    <s v="Late"/>
    <n v="37.569602235796715"/>
    <n v="0.8348730307493194"/>
    <n v="3.802466205538558E-3"/>
    <n v="0.83"/>
    <n v="1"/>
    <n v="61.71153460115255"/>
  </r>
  <r>
    <x v="6"/>
    <x v="6"/>
    <x v="2"/>
    <n v="0.69"/>
    <x v="2"/>
    <s v="Late"/>
    <n v="1"/>
    <n v="358.30200000000002"/>
    <x v="0"/>
    <d v="2021-01-22T00:00:00"/>
    <n v="38.971387464162397"/>
    <d v="2021-02-10T00:00:00"/>
    <d v="2021-02-14T00:00:00"/>
    <n v="350.74248717746201"/>
    <n v="4"/>
    <s v="Late"/>
    <n v="38.971387464162447"/>
    <n v="0.26994557421314663"/>
    <n v="2.8510945681184015E-3"/>
    <n v="0.69"/>
    <n v="0"/>
    <n v="26.184444321306486"/>
  </r>
  <r>
    <x v="7"/>
    <x v="4"/>
    <x v="1"/>
    <n v="0.65"/>
    <x v="0"/>
    <s v="Late"/>
    <n v="1"/>
    <n v="334.07359999999898"/>
    <x v="6"/>
    <d v="2021-11-18T00:00:00"/>
    <n v="63.325457481417203"/>
    <d v="2021-12-05T00:00:00"/>
    <d v="2021-12-03T00:00:00"/>
    <n v="633.25457481417197"/>
    <n v="-2"/>
    <s v="On Time"/>
    <n v="63.325457481417196"/>
    <n v="0.332943722184394"/>
    <n v="1.5791437437202079E-3"/>
    <n v="0.65"/>
    <n v="0"/>
    <n v="26.206248755999489"/>
  </r>
  <r>
    <x v="8"/>
    <x v="0"/>
    <x v="2"/>
    <n v="0.63"/>
    <x v="3"/>
    <s v="Late"/>
    <n v="1"/>
    <n v="370.084"/>
    <x v="1"/>
    <d v="2021-07-24T00:00:00"/>
    <n v="55.9739774311819"/>
    <d v="2021-08-13T00:00:00"/>
    <d v="2021-08-12T00:00:00"/>
    <n v="503.76579688063703"/>
    <n v="-1"/>
    <s v="On Time"/>
    <n v="55.973977431181893"/>
    <n v="0.29168400610348172"/>
    <n v="1.9850494142160694E-3"/>
    <n v="0.63"/>
    <n v="0"/>
    <n v="24.793231604496118"/>
  </r>
  <r>
    <x v="9"/>
    <x v="2"/>
    <x v="2"/>
    <n v="0.87"/>
    <x v="3"/>
    <s v="Late"/>
    <n v="1"/>
    <n v="88.4512"/>
    <x v="2"/>
    <d v="2023-06-28T00:00:00"/>
    <n v="7.7408786874004996"/>
    <d v="2023-07-11T00:00:00"/>
    <d v="2023-07-10T00:00:00"/>
    <n v="85.149665561405499"/>
    <n v="-1"/>
    <s v="On Time"/>
    <n v="7.7408786874004996"/>
    <n v="0.40989252573784285"/>
    <n v="1.174402733594828E-2"/>
    <n v="0.87"/>
    <n v="0"/>
    <n v="34.650171334835314"/>
  </r>
  <r>
    <x v="0"/>
    <x v="2"/>
    <x v="2"/>
    <n v="0.73"/>
    <x v="2"/>
    <s v="Late"/>
    <n v="1"/>
    <n v="33.438999999999901"/>
    <x v="1"/>
    <d v="2023-10-07T00:00:00"/>
    <n v="12.4079220144197"/>
    <d v="2023-10-27T00:00:00"/>
    <d v="2023-10-27T00:00:00"/>
    <n v="111.671298129777"/>
    <n v="0"/>
    <s v="On Time"/>
    <n v="12.407922014419666"/>
    <n v="0.44831007253080141"/>
    <n v="8.9548524710249735E-3"/>
    <n v="0.73"/>
    <n v="0"/>
    <n v="31.134847024746783"/>
  </r>
  <r>
    <x v="1"/>
    <x v="1"/>
    <x v="1"/>
    <n v="0.88"/>
    <x v="0"/>
    <s v="Late"/>
    <n v="1"/>
    <n v="306.726"/>
    <x v="5"/>
    <d v="2021-04-07T00:00:00"/>
    <n v="70.966015905410501"/>
    <d v="2021-05-01T00:00:00"/>
    <d v="2021-04-28T00:00:00"/>
    <n v="922.55820677033705"/>
    <n v="-3"/>
    <s v="On Time"/>
    <n v="70.966015905410543"/>
    <n v="0.25632570243334174"/>
    <n v="1.0839424468411254E-3"/>
    <n v="0.88"/>
    <n v="0"/>
    <n v="31.559032322072074"/>
  </r>
  <r>
    <x v="2"/>
    <x v="3"/>
    <x v="0"/>
    <n v="0.63"/>
    <x v="2"/>
    <s v="Late"/>
    <n v="1"/>
    <n v="40.712000000000003"/>
    <x v="2"/>
    <d v="2021-08-20T00:00:00"/>
    <n v="38.656485487796999"/>
    <d v="2021-09-07T00:00:00"/>
    <d v="2021-09-13T00:00:00"/>
    <n v="425.22134036576699"/>
    <n v="6"/>
    <s v="Late"/>
    <n v="38.656485487796999"/>
    <n v="0.13763725861416132"/>
    <n v="2.3517164005452309E-3"/>
    <n v="0.63"/>
    <n v="0"/>
    <n v="21.723296664299586"/>
  </r>
  <r>
    <x v="3"/>
    <x v="6"/>
    <x v="2"/>
    <n v="0.72"/>
    <x v="1"/>
    <s v="On Time"/>
    <n v="0"/>
    <n v="-163.53599999999901"/>
    <x v="0"/>
    <d v="2022-06-18T00:00:00"/>
    <n v="42.755936407705299"/>
    <d v="2022-07-11T00:00:00"/>
    <d v="2022-07-13T00:00:00"/>
    <n v="256.53561844623198"/>
    <n v="2"/>
    <s v="Late"/>
    <n v="42.755936407705327"/>
    <n v="0"/>
    <n v="3.8980941752133061E-3"/>
    <n v="0.72"/>
    <n v="1"/>
    <n v="41.716942825256396"/>
  </r>
  <r>
    <x v="4"/>
    <x v="4"/>
    <x v="1"/>
    <n v="0.81"/>
    <x v="1"/>
    <s v="On Time"/>
    <n v="0"/>
    <n v="29.93"/>
    <x v="0"/>
    <d v="2022-06-22T00:00:00"/>
    <n v="61.419143230924199"/>
    <d v="2022-07-05T00:00:00"/>
    <d v="2022-07-11T00:00:00"/>
    <n v="859.86800523293903"/>
    <n v="6"/>
    <s v="Late"/>
    <n v="61.419143230924213"/>
    <n v="9.7418871854962077E-2"/>
    <n v="1.1629691928461731E-3"/>
    <n v="0.81"/>
    <n v="1"/>
    <n v="46.28326651288463"/>
  </r>
  <r>
    <x v="5"/>
    <x v="5"/>
    <x v="2"/>
    <n v="0.91"/>
    <x v="3"/>
    <s v="Late"/>
    <n v="1"/>
    <n v="63.5200999999999"/>
    <x v="2"/>
    <d v="2021-07-15T00:00:00"/>
    <n v="56.839610469102503"/>
    <d v="2021-07-25T00:00:00"/>
    <d v="2021-07-31T00:00:00"/>
    <n v="454.71688375282002"/>
    <n v="6"/>
    <s v="Late"/>
    <n v="56.839610469102503"/>
    <n v="4.8235661209104753E-2"/>
    <n v="2.1991705954415163E-3"/>
    <n v="0.91"/>
    <n v="0"/>
    <n v="28.330688342045342"/>
  </r>
  <r>
    <x v="6"/>
    <x v="7"/>
    <x v="3"/>
    <n v="0.72"/>
    <x v="1"/>
    <s v="Late"/>
    <n v="1"/>
    <n v="-280.11"/>
    <x v="0"/>
    <d v="2023-08-10T00:00:00"/>
    <n v="27.799240286342599"/>
    <d v="2023-08-24T00:00:00"/>
    <d v="2023-08-25T00:00:00"/>
    <n v="333.59088343611103"/>
    <n v="1"/>
    <s v="Late"/>
    <n v="27.799240286342584"/>
    <n v="0"/>
    <n v="2.9976838386577762E-3"/>
    <n v="0.72"/>
    <n v="0"/>
    <n v="21.689930515159734"/>
  </r>
  <r>
    <x v="7"/>
    <x v="3"/>
    <x v="2"/>
    <n v="0.84"/>
    <x v="3"/>
    <s v="On Time"/>
    <n v="0"/>
    <n v="278.334"/>
    <x v="3"/>
    <d v="2022-03-09T00:00:00"/>
    <n v="55.400776387823001"/>
    <d v="2022-04-01T00:00:00"/>
    <d v="2022-03-30T00:00:00"/>
    <n v="332.40465832693798"/>
    <n v="-2"/>
    <s v="On Time"/>
    <n v="55.400776387822994"/>
    <n v="0.57137050585670468"/>
    <n v="3.0083814259198676E-3"/>
    <n v="0.84"/>
    <n v="1"/>
    <n v="56.71766155991169"/>
  </r>
  <r>
    <x v="8"/>
    <x v="3"/>
    <x v="3"/>
    <n v="0.95"/>
    <x v="0"/>
    <s v="Late"/>
    <n v="1"/>
    <n v="62.51"/>
    <x v="2"/>
    <d v="2023-01-08T00:00:00"/>
    <n v="65.5746662927789"/>
    <d v="2023-01-29T00:00:00"/>
    <d v="2023-02-01T00:00:00"/>
    <n v="786.89599551334697"/>
    <n v="3"/>
    <s v="Late"/>
    <n v="65.574666292778915"/>
    <n v="0.43361542730299668"/>
    <n v="1.2708159727609625E-3"/>
    <n v="0.95"/>
    <n v="0"/>
    <n v="37.210433025242764"/>
  </r>
  <r>
    <x v="9"/>
    <x v="1"/>
    <x v="1"/>
    <n v="0.84"/>
    <x v="1"/>
    <s v="On Time"/>
    <n v="0"/>
    <n v="831.46050000000002"/>
    <x v="1"/>
    <d v="2023-01-21T00:00:00"/>
    <n v="75.425171438418701"/>
    <d v="2023-02-07T00:00:00"/>
    <d v="2023-02-12T00:00:00"/>
    <n v="980.52722869944296"/>
    <n v="5"/>
    <s v="Late"/>
    <n v="75.425171438418687"/>
    <n v="0.63914227106531207"/>
    <n v="1.0198594906195369E-3"/>
    <n v="0.84"/>
    <n v="1"/>
    <n v="58.013441206024829"/>
  </r>
  <r>
    <x v="3"/>
    <x v="5"/>
    <x v="0"/>
    <n v="0.69"/>
    <x v="1"/>
    <s v="Late"/>
    <n v="1"/>
    <n v="241.02719999999999"/>
    <x v="2"/>
    <d v="2023-07-26T00:00:00"/>
    <n v="43.229132515747096"/>
    <d v="2023-08-15T00:00:00"/>
    <d v="2023-08-21T00:00:00"/>
    <n v="518.74959018896504"/>
    <n v="6"/>
    <s v="Late"/>
    <n v="43.229132515747089"/>
    <n v="0.60090469580201999"/>
    <n v="1.927712366260819E-3"/>
    <n v="0.69"/>
    <n v="0"/>
    <n v="32.775925287028222"/>
  </r>
  <r>
    <x v="4"/>
    <x v="0"/>
    <x v="2"/>
    <n v="0.61"/>
    <x v="2"/>
    <s v="Late"/>
    <n v="1"/>
    <n v="714.32960000000003"/>
    <x v="0"/>
    <d v="2022-03-03T00:00:00"/>
    <n v="56.082397254342297"/>
    <d v="2022-03-14T00:00:00"/>
    <d v="2022-03-19T00:00:00"/>
    <n v="729.07116430644896"/>
    <n v="5"/>
    <s v="Late"/>
    <n v="56.082397254342226"/>
    <n v="0.35451135342190776"/>
    <n v="1.3716082173559562E-3"/>
    <n v="0.61"/>
    <n v="0"/>
    <n v="25.431375314958832"/>
  </r>
  <r>
    <x v="5"/>
    <x v="0"/>
    <x v="2"/>
    <n v="0.94"/>
    <x v="1"/>
    <s v="On Time"/>
    <n v="0"/>
    <n v="124.6698"/>
    <x v="3"/>
    <d v="2021-12-11T00:00:00"/>
    <n v="70.787545401240607"/>
    <d v="2021-12-25T00:00:00"/>
    <d v="2021-12-26T00:00:00"/>
    <n v="637.08790861116495"/>
    <n v="1"/>
    <s v="Late"/>
    <n v="70.78754540124055"/>
    <n v="6.6622034587937209E-2"/>
    <n v="1.5696420956724387E-3"/>
    <n v="0.94"/>
    <n v="1"/>
    <n v="49.579529954628917"/>
  </r>
  <r>
    <x v="6"/>
    <x v="1"/>
    <x v="2"/>
    <n v="0.61"/>
    <x v="1"/>
    <s v="Late"/>
    <n v="1"/>
    <n v="574.81200000000001"/>
    <x v="3"/>
    <d v="2022-01-18T00:00:00"/>
    <n v="48.731061104471898"/>
    <d v="2022-01-31T00:00:00"/>
    <d v="2022-01-29T00:00:00"/>
    <n v="389.84848883577502"/>
    <n v="-2"/>
    <s v="On Time"/>
    <n v="48.731061104471877"/>
    <n v="0.41654492330168008"/>
    <n v="2.5650990798665205E-3"/>
    <n v="0.61"/>
    <n v="0"/>
    <n v="26.707851438429596"/>
  </r>
  <r>
    <x v="7"/>
    <x v="2"/>
    <x v="1"/>
    <n v="0.94"/>
    <x v="1"/>
    <s v="Late"/>
    <n v="1"/>
    <n v="632.09040000000005"/>
    <x v="5"/>
    <d v="2023-04-22T00:00:00"/>
    <n v="67.796738370822695"/>
    <d v="2023-05-15T00:00:00"/>
    <d v="2023-05-21T00:00:00"/>
    <n v="474.577168595758"/>
    <n v="6"/>
    <s v="Late"/>
    <n v="67.796738370822567"/>
    <n v="0.6303063808197279"/>
    <n v="2.1071388726072366E-3"/>
    <n v="0.94"/>
    <n v="0"/>
    <n v="40.869341782572768"/>
  </r>
  <r>
    <x v="8"/>
    <x v="0"/>
    <x v="2"/>
    <n v="0.81"/>
    <x v="2"/>
    <s v="On Time"/>
    <n v="0"/>
    <n v="376.34699999999998"/>
    <x v="1"/>
    <d v="2023-10-05T00:00:00"/>
    <n v="59.867278450142798"/>
    <d v="2023-10-23T00:00:00"/>
    <d v="2023-10-21T00:00:00"/>
    <n v="898.00917675214203"/>
    <n v="-2"/>
    <s v="On Time"/>
    <n v="59.867278450142798"/>
    <n v="0.4263120513549547"/>
    <n v="1.1135743663742183E-3"/>
    <n v="0.81"/>
    <n v="1"/>
    <n v="52.859648258090317"/>
  </r>
  <r>
    <x v="9"/>
    <x v="6"/>
    <x v="2"/>
    <n v="0.97"/>
    <x v="1"/>
    <s v="Late"/>
    <n v="1"/>
    <n v="32.875999999999898"/>
    <x v="4"/>
    <d v="2023-11-15T00:00:00"/>
    <n v="30.307510665518901"/>
    <d v="2023-11-27T00:00:00"/>
    <d v="2023-12-01T00:00:00"/>
    <n v="272.76759598966999"/>
    <n v="4"/>
    <s v="Late"/>
    <n v="30.307510665518887"/>
    <n v="0.21469900604730818"/>
    <n v="3.6661246229477752E-3"/>
    <n v="0.97"/>
    <n v="0"/>
    <n v="33.503963859634602"/>
  </r>
  <r>
    <x v="0"/>
    <x v="4"/>
    <x v="1"/>
    <n v="0.91"/>
    <x v="1"/>
    <s v="On Time"/>
    <n v="0"/>
    <n v="428.7056"/>
    <x v="4"/>
    <d v="2022-09-22T00:00:00"/>
    <n v="65.230673540248503"/>
    <d v="2022-10-09T00:00:00"/>
    <d v="2022-10-14T00:00:00"/>
    <n v="913.22942956348004"/>
    <n v="5"/>
    <s v="Late"/>
    <n v="65.230673540248574"/>
    <n v="0.49743892499828274"/>
    <n v="1.0950150834254169E-3"/>
    <n v="0.91"/>
    <n v="1"/>
    <n v="57.281628952468424"/>
  </r>
  <r>
    <x v="1"/>
    <x v="3"/>
    <x v="2"/>
    <n v="0.99"/>
    <x v="1"/>
    <s v="Late"/>
    <n v="1"/>
    <n v="228.44"/>
    <x v="2"/>
    <d v="2021-03-02T00:00:00"/>
    <n v="32.0403734948828"/>
    <d v="2021-03-19T00:00:00"/>
    <d v="2021-03-20T00:00:00"/>
    <n v="256.322987959062"/>
    <n v="1"/>
    <s v="Late"/>
    <n v="32.040373494882751"/>
    <n v="0.35410466269841268"/>
    <n v="3.9013278050570809E-3"/>
    <n v="0.99"/>
    <n v="0"/>
    <n v="36.89913308811996"/>
  </r>
  <r>
    <x v="2"/>
    <x v="0"/>
    <x v="0"/>
    <n v="0.75"/>
    <x v="0"/>
    <s v="Late"/>
    <n v="1"/>
    <n v="390.634199999999"/>
    <x v="0"/>
    <d v="2021-02-11T00:00:00"/>
    <n v="35.416169256607702"/>
    <d v="2021-03-02T00:00:00"/>
    <d v="2021-02-27T00:00:00"/>
    <n v="247.913184796254"/>
    <n v="-3"/>
    <s v="On Time"/>
    <n v="35.416169256607716"/>
    <n v="0.62991881434695751"/>
    <n v="4.0336700963357159E-3"/>
    <n v="0.75"/>
    <n v="0"/>
    <n v="35.219386389829225"/>
  </r>
  <r>
    <x v="3"/>
    <x v="1"/>
    <x v="1"/>
    <n v="0.8"/>
    <x v="3"/>
    <s v="On Time"/>
    <n v="0"/>
    <n v="62.891999999999904"/>
    <x v="1"/>
    <d v="2022-11-27T00:00:00"/>
    <n v="61.017263315012897"/>
    <d v="2022-12-17T00:00:00"/>
    <d v="2022-12-15T00:00:00"/>
    <n v="671.18989646514206"/>
    <n v="-2"/>
    <s v="On Time"/>
    <n v="61.017263315012912"/>
    <n v="0.13535290927403715"/>
    <n v="1.489891318785569E-3"/>
    <n v="0.8"/>
    <n v="1"/>
    <n v="46.751754925044317"/>
  </r>
  <r>
    <x v="4"/>
    <x v="2"/>
    <x v="2"/>
    <n v="0.62"/>
    <x v="0"/>
    <s v="Late"/>
    <n v="1"/>
    <n v="678.80119999999897"/>
    <x v="2"/>
    <d v="2021-09-14T00:00:00"/>
    <n v="55.105789294433897"/>
    <d v="2021-10-07T00:00:00"/>
    <d v="2021-10-11T00:00:00"/>
    <n v="440.84631435547101"/>
    <n v="4"/>
    <s v="Late"/>
    <n v="55.105789294433876"/>
    <n v="0.69170763440890859"/>
    <n v="2.2683642063834118E-3"/>
    <n v="0.62"/>
    <n v="0"/>
    <n v="32.502203614369677"/>
  </r>
  <r>
    <x v="5"/>
    <x v="0"/>
    <x v="2"/>
    <n v="0.66"/>
    <x v="1"/>
    <s v="On Time"/>
    <n v="0"/>
    <n v="552.04959999999903"/>
    <x v="0"/>
    <d v="2024-01-02T00:00:00"/>
    <n v="27.988363504056998"/>
    <d v="2024-01-16T00:00:00"/>
    <d v="2024-01-19T00:00:00"/>
    <n v="279.88363504057003"/>
    <n v="3"/>
    <s v="Late"/>
    <n v="27.988363504057002"/>
    <n v="0.67138932022587761"/>
    <n v="3.5729134354534407E-3"/>
    <n v="0.66"/>
    <n v="1"/>
    <n v="53.334973807581164"/>
  </r>
  <r>
    <x v="6"/>
    <x v="3"/>
    <x v="2"/>
    <n v="0.89"/>
    <x v="3"/>
    <s v="Late"/>
    <n v="1"/>
    <n v="-3.1046999999999798"/>
    <x v="3"/>
    <d v="2022-08-28T00:00:00"/>
    <n v="10.610803977676399"/>
    <d v="2022-09-13T00:00:00"/>
    <d v="2022-09-18T00:00:00"/>
    <n v="148.55125568746999"/>
    <n v="5"/>
    <s v="Late"/>
    <n v="10.610803977676428"/>
    <n v="0"/>
    <n v="6.7316832521688878E-3"/>
    <n v="0.89"/>
    <n v="0"/>
    <n v="26.901950497565068"/>
  </r>
  <r>
    <x v="7"/>
    <x v="0"/>
    <x v="3"/>
    <n v="0.63"/>
    <x v="1"/>
    <s v="Late"/>
    <n v="1"/>
    <n v="79.132000000000005"/>
    <x v="2"/>
    <d v="2023-08-11T00:00:00"/>
    <n v="77.352644353048703"/>
    <d v="2023-09-03T00:00:00"/>
    <d v="2023-09-01T00:00:00"/>
    <n v="1160.2896652957299"/>
    <n v="-2"/>
    <s v="On Time"/>
    <n v="77.35264435304866"/>
    <n v="0.23819729570274406"/>
    <n v="8.6185375075725084E-4"/>
    <n v="0.63"/>
    <n v="0"/>
    <n v="23.6898015265776"/>
  </r>
  <r>
    <x v="8"/>
    <x v="1"/>
    <x v="3"/>
    <n v="0.84"/>
    <x v="3"/>
    <s v="On Time"/>
    <n v="0"/>
    <n v="721.21799999999996"/>
    <x v="2"/>
    <d v="2023-04-02T00:00:00"/>
    <n v="51.314846522385203"/>
    <d v="2023-04-25T00:00:00"/>
    <d v="2023-04-24T00:00:00"/>
    <n v="307.88907913431098"/>
    <n v="-1"/>
    <s v="On Time"/>
    <n v="51.31484652238516"/>
    <n v="0.74543109275486341"/>
    <n v="3.2479229299450674E-3"/>
    <n v="0.84"/>
    <n v="1"/>
    <n v="60.206059542995625"/>
  </r>
  <r>
    <x v="9"/>
    <x v="0"/>
    <x v="2"/>
    <n v="0.7"/>
    <x v="0"/>
    <s v="On Time"/>
    <n v="0"/>
    <n v="286.923599999999"/>
    <x v="0"/>
    <d v="2022-05-26T00:00:00"/>
    <n v="66.462026420324094"/>
    <d v="2022-06-07T00:00:00"/>
    <d v="2022-06-04T00:00:00"/>
    <n v="731.082290623566"/>
    <n v="-3"/>
    <s v="On Time"/>
    <n v="66.462026420324179"/>
    <n v="0.23444849404767076"/>
    <n v="1.3678350752376516E-3"/>
    <n v="0.7"/>
    <n v="1"/>
    <n v="45.730004933210544"/>
  </r>
  <r>
    <x v="3"/>
    <x v="1"/>
    <x v="2"/>
    <n v="0.75"/>
    <x v="3"/>
    <s v="Late"/>
    <n v="1"/>
    <n v="-28.345599999999902"/>
    <x v="4"/>
    <d v="2022-10-16T00:00:00"/>
    <n v="4.0277316945545198"/>
    <d v="2022-11-03T00:00:00"/>
    <d v="2022-11-05T00:00:00"/>
    <n v="16.110926778218101"/>
    <n v="2"/>
    <s v="Late"/>
    <n v="4.0277316945545252"/>
    <n v="0"/>
    <n v="6.2069675678248094E-2"/>
    <n v="0.75"/>
    <n v="0"/>
    <n v="24.362090270347441"/>
  </r>
  <r>
    <x v="4"/>
    <x v="4"/>
    <x v="2"/>
    <n v="0.71"/>
    <x v="3"/>
    <s v="Late"/>
    <n v="1"/>
    <n v="846.7328"/>
    <x v="3"/>
    <d v="2021-02-05T00:00:00"/>
    <n v="14.622981918470201"/>
    <d v="2021-02-17T00:00:00"/>
    <d v="2021-02-23T00:00:00"/>
    <n v="102.360873429292"/>
    <n v="6"/>
    <s v="Late"/>
    <n v="14.622981918470286"/>
    <n v="0.45163591799671948"/>
    <n v="9.7693578268533612E-3"/>
    <n v="0.71"/>
    <n v="0"/>
    <n v="30.625799094739993"/>
  </r>
  <r>
    <x v="5"/>
    <x v="5"/>
    <x v="3"/>
    <n v="0.74"/>
    <x v="3"/>
    <s v="On Time"/>
    <n v="0"/>
    <n v="246.52080000000001"/>
    <x v="0"/>
    <d v="2023-03-09T00:00:00"/>
    <n v="32.039550811405697"/>
    <d v="2023-04-02T00:00:00"/>
    <d v="2023-04-03T00:00:00"/>
    <n v="256.31640649124603"/>
    <n v="1"/>
    <s v="Late"/>
    <n v="32.039550811405753"/>
    <n v="0.50946596765153729"/>
    <n v="3.9014279799297709E-3"/>
    <n v="0.74"/>
    <n v="1"/>
    <n v="52.506362192428632"/>
  </r>
  <r>
    <x v="6"/>
    <x v="1"/>
    <x v="3"/>
    <n v="0.88"/>
    <x v="3"/>
    <s v="Late"/>
    <n v="1"/>
    <n v="352.53480000000002"/>
    <x v="3"/>
    <d v="2023-09-19T00:00:00"/>
    <n v="5.7234883675024602"/>
    <d v="2023-10-03T00:00:00"/>
    <d v="2023-10-04T00:00:00"/>
    <n v="22.893953470009802"/>
    <n v="1"/>
    <s v="Late"/>
    <n v="5.7234883675024504"/>
    <n v="0.23792030800653399"/>
    <n v="4.3679655473658645E-2"/>
    <n v="0.88"/>
    <n v="0"/>
    <n v="32.46879582434044"/>
  </r>
  <r>
    <x v="7"/>
    <x v="1"/>
    <x v="2"/>
    <n v="0.72"/>
    <x v="0"/>
    <s v="Late"/>
    <n v="1"/>
    <n v="394.62"/>
    <x v="3"/>
    <d v="2023-07-11T00:00:00"/>
    <n v="31.131860156182501"/>
    <d v="2023-07-29T00:00:00"/>
    <d v="2023-07-31T00:00:00"/>
    <n v="342.45046171800698"/>
    <n v="2"/>
    <s v="Late"/>
    <n v="31.131860156182452"/>
    <n v="0.41592799097779232"/>
    <n v="2.9201303890296882E-3"/>
    <n v="0.72"/>
    <n v="0"/>
    <n v="30.006163731226739"/>
  </r>
  <r>
    <x v="8"/>
    <x v="6"/>
    <x v="0"/>
    <n v="0.82"/>
    <x v="2"/>
    <s v="Late"/>
    <n v="1"/>
    <n v="87.453599999999994"/>
    <x v="2"/>
    <d v="2021-09-21T00:00:00"/>
    <n v="77.253559523791097"/>
    <d v="2021-10-07T00:00:00"/>
    <d v="2021-10-09T00:00:00"/>
    <n v="849.78915476170198"/>
    <n v="2"/>
    <s v="Late"/>
    <n v="77.253559523791083"/>
    <n v="8.2677049228681826E-2"/>
    <n v="1.1767624879614053E-3"/>
    <n v="0.82"/>
    <n v="0"/>
    <n v="26.288843859212474"/>
  </r>
  <r>
    <x v="9"/>
    <x v="1"/>
    <x v="1"/>
    <n v="0.79"/>
    <x v="1"/>
    <s v="Late"/>
    <n v="1"/>
    <n v="413.21960000000001"/>
    <x v="1"/>
    <d v="2021-06-10T00:00:00"/>
    <n v="40.693032047234801"/>
    <d v="2021-06-22T00:00:00"/>
    <d v="2021-06-24T00:00:00"/>
    <n v="244.15819228340899"/>
    <n v="2"/>
    <s v="Late"/>
    <n v="40.69303204723483"/>
    <n v="0.89818710445342309"/>
    <n v="4.0957052910976675E-3"/>
    <n v="0.79"/>
    <n v="0"/>
    <n v="41.786613247801391"/>
  </r>
  <r>
    <x v="0"/>
    <x v="1"/>
    <x v="3"/>
    <n v="0.86"/>
    <x v="3"/>
    <s v="Late"/>
    <n v="1"/>
    <n v="129.53100000000001"/>
    <x v="3"/>
    <d v="2022-04-05T00:00:00"/>
    <n v="13.6519436932261"/>
    <d v="2022-04-27T00:00:00"/>
    <d v="2022-04-27T00:00:00"/>
    <n v="177.47526801193899"/>
    <n v="0"/>
    <s v="On Time"/>
    <n v="13.651943693226077"/>
    <n v="0.25440586387928138"/>
    <n v="5.6345879130196815E-3"/>
    <n v="0.86"/>
    <n v="0"/>
    <n v="31.05715491497622"/>
  </r>
  <r>
    <x v="1"/>
    <x v="2"/>
    <x v="3"/>
    <n v="0.97"/>
    <x v="3"/>
    <s v="Late"/>
    <n v="1"/>
    <n v="46.674799999999998"/>
    <x v="5"/>
    <d v="2021-09-04T00:00:00"/>
    <n v="47.191802199832097"/>
    <d v="2021-09-28T00:00:00"/>
    <d v="2021-09-28T00:00:00"/>
    <n v="660.68523079764896"/>
    <n v="0"/>
    <s v="On Time"/>
    <n v="47.191802199832068"/>
    <n v="0.11359306567033703"/>
    <n v="1.5135800732108003E-3"/>
    <n v="0.97"/>
    <n v="0"/>
    <n v="31.417268715603065"/>
  </r>
  <r>
    <x v="2"/>
    <x v="5"/>
    <x v="0"/>
    <n v="0.89"/>
    <x v="3"/>
    <s v="Late"/>
    <n v="1"/>
    <n v="215.123999999999"/>
    <x v="2"/>
    <d v="2022-04-30T00:00:00"/>
    <n v="61.049482652379297"/>
    <d v="2022-05-14T00:00:00"/>
    <d v="2022-05-18T00:00:00"/>
    <n v="915.74223978568898"/>
    <n v="4"/>
    <s v="Late"/>
    <n v="61.049482652379268"/>
    <n v="0.36587332092915564"/>
    <n v="1.0920103458742167E-3"/>
    <n v="0.89"/>
    <n v="0"/>
    <n v="34.050226728959345"/>
  </r>
  <r>
    <x v="3"/>
    <x v="4"/>
    <x v="0"/>
    <n v="0.68"/>
    <x v="0"/>
    <s v="On Time"/>
    <n v="0"/>
    <n v="196.928"/>
    <x v="4"/>
    <d v="2021-10-09T00:00:00"/>
    <n v="54.3455422653957"/>
    <d v="2021-10-21T00:00:00"/>
    <d v="2021-10-18T00:00:00"/>
    <n v="543.45542265395704"/>
    <n v="-3"/>
    <s v="On Time"/>
    <n v="54.345542265395707"/>
    <n v="0.48119477676127925"/>
    <n v="1.8400773243121098E-3"/>
    <n v="0.68"/>
    <n v="1"/>
    <n v="50.079097854954945"/>
  </r>
  <r>
    <x v="4"/>
    <x v="3"/>
    <x v="2"/>
    <n v="0.61"/>
    <x v="1"/>
    <s v="Late"/>
    <n v="1"/>
    <n v="-171.06699999999901"/>
    <x v="1"/>
    <d v="2022-10-30T00:00:00"/>
    <n v="47.746025803366699"/>
    <d v="2022-11-14T00:00:00"/>
    <d v="2022-11-18T00:00:00"/>
    <n v="572.95230964040002"/>
    <n v="4"/>
    <s v="Late"/>
    <n v="47.74602580336667"/>
    <n v="0"/>
    <n v="1.7453459619136999E-3"/>
    <n v="0.61"/>
    <n v="0"/>
    <n v="18.352360378857409"/>
  </r>
  <r>
    <x v="5"/>
    <x v="6"/>
    <x v="2"/>
    <n v="0.7"/>
    <x v="0"/>
    <s v="Late"/>
    <n v="1"/>
    <n v="-73.644000000000105"/>
    <x v="5"/>
    <d v="2021-04-07T00:00:00"/>
    <n v="40.3484069264724"/>
    <d v="2021-04-28T00:00:00"/>
    <d v="2021-05-03T00:00:00"/>
    <n v="564.87769697061299"/>
    <n v="5"/>
    <s v="Late"/>
    <n v="40.348406926472357"/>
    <n v="0"/>
    <n v="1.7702947122233855E-3"/>
    <n v="0.7"/>
    <n v="0"/>
    <n v="21.053108841366701"/>
  </r>
  <r>
    <x v="6"/>
    <x v="2"/>
    <x v="1"/>
    <n v="0.83"/>
    <x v="0"/>
    <s v="Late"/>
    <n v="1"/>
    <n v="165.61019999999999"/>
    <x v="5"/>
    <d v="2021-07-25T00:00:00"/>
    <n v="49.6114287246155"/>
    <d v="2021-08-07T00:00:00"/>
    <d v="2021-08-11T00:00:00"/>
    <n v="694.56000214461699"/>
    <n v="4"/>
    <s v="Late"/>
    <n v="49.6114287246155"/>
    <n v="0.64625798309686788"/>
    <n v="1.4397604194198706E-3"/>
    <n v="0.83"/>
    <n v="0"/>
    <n v="37.868352474519952"/>
  </r>
  <r>
    <x v="7"/>
    <x v="7"/>
    <x v="1"/>
    <n v="0.62"/>
    <x v="1"/>
    <s v="Late"/>
    <n v="1"/>
    <n v="148.49439999999899"/>
    <x v="4"/>
    <d v="2022-02-18T00:00:00"/>
    <n v="12.269537144109099"/>
    <d v="2022-03-05T00:00:00"/>
    <d v="2022-03-06T00:00:00"/>
    <n v="85.886760008764199"/>
    <n v="1"/>
    <s v="Late"/>
    <n v="12.269537144109171"/>
    <n v="0.17138166763305604"/>
    <n v="1.1643238141687454E-2"/>
    <n v="0.62"/>
    <n v="0"/>
    <n v="22.376930496911747"/>
  </r>
  <r>
    <x v="8"/>
    <x v="5"/>
    <x v="2"/>
    <n v="0.79"/>
    <x v="0"/>
    <s v="On Time"/>
    <n v="0"/>
    <n v="980.95999999999901"/>
    <x v="1"/>
    <d v="2023-07-17T00:00:00"/>
    <n v="52.646075273157798"/>
    <d v="2023-08-01T00:00:00"/>
    <d v="2023-08-05T00:00:00"/>
    <n v="684.39897855105198"/>
    <n v="4"/>
    <s v="Late"/>
    <n v="52.646075273157848"/>
    <n v="0.67225877192982852"/>
    <n v="1.4611360205667025E-3"/>
    <n v="0.79"/>
    <n v="1"/>
    <n v="57.18900951921357"/>
  </r>
  <r>
    <x v="9"/>
    <x v="4"/>
    <x v="2"/>
    <n v="0.83"/>
    <x v="1"/>
    <s v="Late"/>
    <n v="1"/>
    <n v="-105.575599999999"/>
    <x v="2"/>
    <d v="2023-03-30T00:00:00"/>
    <n v="9.8289098931400005"/>
    <d v="2023-04-23T00:00:00"/>
    <d v="2023-04-24T00:00:00"/>
    <n v="147.4336483971"/>
    <n v="1"/>
    <s v="Late"/>
    <n v="9.8289098931400005"/>
    <n v="0"/>
    <n v="6.7827121615181424E-3"/>
    <n v="0.83"/>
    <n v="0"/>
    <n v="25.103481364845543"/>
  </r>
  <r>
    <x v="7"/>
    <x v="4"/>
    <x v="3"/>
    <n v="0.73"/>
    <x v="2"/>
    <s v="On Time"/>
    <n v="0"/>
    <n v="598.59799999999996"/>
    <x v="6"/>
    <d v="2023-01-27T00:00:00"/>
    <n v="40.978061506173802"/>
    <d v="2023-02-15T00:00:00"/>
    <d v="2023-02-15T00:00:00"/>
    <n v="614.67092259260801"/>
    <n v="0"/>
    <s v="On Time"/>
    <n v="40.978061506173866"/>
    <n v="0.63900346724055468"/>
    <n v="1.6268867832272271E-3"/>
    <n v="0.73"/>
    <n v="1"/>
    <n v="54.728875948307909"/>
  </r>
  <r>
    <x v="8"/>
    <x v="7"/>
    <x v="2"/>
    <n v="0.9"/>
    <x v="1"/>
    <s v="Late"/>
    <n v="1"/>
    <n v="365.65199999999999"/>
    <x v="1"/>
    <d v="2021-04-13T00:00:00"/>
    <n v="29.982365647497399"/>
    <d v="2021-04-23T00:00:00"/>
    <d v="2021-04-23T00:00:00"/>
    <n v="479.71785035995902"/>
    <n v="0"/>
    <s v="On Time"/>
    <n v="29.982365647497438"/>
    <n v="0.78999766664074045"/>
    <n v="2.0845586614082513E-3"/>
    <n v="0.9"/>
    <n v="0"/>
    <n v="42.862490092657055"/>
  </r>
  <r>
    <x v="9"/>
    <x v="3"/>
    <x v="3"/>
    <n v="0.64"/>
    <x v="3"/>
    <s v="Late"/>
    <n v="1"/>
    <n v="460.312199999999"/>
    <x v="4"/>
    <d v="2023-05-26T00:00:00"/>
    <n v="51.541561265747298"/>
    <d v="2023-06-10T00:00:00"/>
    <d v="2023-06-11T00:00:00"/>
    <n v="515.41561265747305"/>
    <n v="1"/>
    <s v="Late"/>
    <n v="51.541561265747305"/>
    <n v="0.66730075229170926"/>
    <n v="1.9401818172406907E-3"/>
    <n v="0.64"/>
    <n v="0"/>
    <n v="32.60422050035141"/>
  </r>
  <r>
    <x v="0"/>
    <x v="1"/>
    <x v="0"/>
    <n v="0.63"/>
    <x v="3"/>
    <s v="Late"/>
    <n v="1"/>
    <n v="52.164000000000001"/>
    <x v="5"/>
    <d v="2021-06-16T00:00:00"/>
    <n v="6.2644019286491197"/>
    <d v="2021-07-06T00:00:00"/>
    <d v="2021-07-05T00:00:00"/>
    <n v="75.172823143789401"/>
    <n v="-1"/>
    <s v="On Time"/>
    <n v="6.264401928649117"/>
    <n v="0.28604329801934592"/>
    <n v="1.3302679853957534E-2"/>
    <n v="0.63"/>
    <n v="0"/>
    <n v="25.019946356005647"/>
  </r>
  <r>
    <x v="1"/>
    <x v="2"/>
    <x v="2"/>
    <n v="0.88"/>
    <x v="3"/>
    <s v="Late"/>
    <n v="1"/>
    <n v="74.738399999999999"/>
    <x v="2"/>
    <d v="2021-08-07T00:00:00"/>
    <n v="77.017404093576204"/>
    <d v="2021-08-20T00:00:00"/>
    <d v="2021-08-26T00:00:00"/>
    <n v="1155.26106140364"/>
    <n v="6"/>
    <s v="Late"/>
    <n v="77.017404093576005"/>
    <n v="0.19235782100302054"/>
    <n v="8.6560521548696701E-4"/>
    <n v="0.88"/>
    <n v="0"/>
    <n v="30.273124576525017"/>
  </r>
  <r>
    <x v="2"/>
    <x v="0"/>
    <x v="0"/>
    <n v="0.79"/>
    <x v="2"/>
    <s v="On Time"/>
    <n v="0"/>
    <n v="243.90600000000001"/>
    <x v="1"/>
    <d v="2024-02-03T00:00:00"/>
    <n v="33.588139177215297"/>
    <d v="2024-02-17T00:00:00"/>
    <d v="2024-02-23T00:00:00"/>
    <n v="335.88139177215299"/>
    <n v="6"/>
    <s v="Late"/>
    <n v="33.588139177215297"/>
    <n v="0.43835188060731534"/>
    <n v="2.9772414444392786E-3"/>
    <n v="0.79"/>
    <n v="1"/>
    <n v="52.556354855479491"/>
  </r>
  <r>
    <x v="3"/>
    <x v="6"/>
    <x v="1"/>
    <n v="0.87"/>
    <x v="1"/>
    <s v="On Time"/>
    <n v="0"/>
    <n v="93.968699999999899"/>
    <x v="6"/>
    <d v="2021-05-08T00:00:00"/>
    <n v="52.839435548963998"/>
    <d v="2021-05-27T00:00:00"/>
    <d v="2021-05-26T00:00:00"/>
    <n v="528.39435548964002"/>
    <n v="-1"/>
    <s v="On Time"/>
    <n v="52.839435548964005"/>
    <n v="6.9416772113115741E-2"/>
    <n v="1.8925258939856456E-3"/>
    <n v="0.87"/>
    <n v="1"/>
    <n v="47.545111219081889"/>
  </r>
  <r>
    <x v="4"/>
    <x v="0"/>
    <x v="1"/>
    <n v="0.77"/>
    <x v="2"/>
    <s v="Late"/>
    <n v="1"/>
    <n v="444.01"/>
    <x v="6"/>
    <d v="2021-02-17T00:00:00"/>
    <n v="15.742334542468701"/>
    <d v="2021-02-27T00:00:00"/>
    <d v="2021-02-27T00:00:00"/>
    <n v="204.65034905209299"/>
    <n v="0"/>
    <s v="On Time"/>
    <n v="15.742334542468692"/>
    <n v="0.53969199353356589"/>
    <n v="4.8863830657110375E-3"/>
    <n v="0.77"/>
    <n v="0"/>
    <n v="34.04043136264265"/>
  </r>
  <r>
    <x v="5"/>
    <x v="7"/>
    <x v="2"/>
    <n v="0.7"/>
    <x v="0"/>
    <s v="Late"/>
    <n v="1"/>
    <n v="5.02760000000006"/>
    <x v="3"/>
    <d v="2022-08-04T00:00:00"/>
    <n v="61.781694911796997"/>
    <d v="2022-08-21T00:00:00"/>
    <d v="2022-08-22T00:00:00"/>
    <n v="741.38033894156399"/>
    <n v="1"/>
    <s v="Late"/>
    <n v="61.781694911796997"/>
    <n v="1.2053484520541127E-2"/>
    <n v="1.3488353379152945E-3"/>
    <n v="0.7"/>
    <n v="0"/>
    <n v="21.281534750548282"/>
  </r>
  <r>
    <x v="6"/>
    <x v="4"/>
    <x v="2"/>
    <n v="0.92"/>
    <x v="1"/>
    <s v="On Time"/>
    <n v="0"/>
    <n v="132.3056"/>
    <x v="3"/>
    <d v="2024-04-12T00:00:00"/>
    <n v="76.844112111847906"/>
    <d v="2024-04-24T00:00:00"/>
    <d v="2024-04-28T00:00:00"/>
    <n v="691.59700900663097"/>
    <n v="4"/>
    <s v="Late"/>
    <n v="76.844112111847892"/>
    <n v="0.15669602589271503"/>
    <n v="1.4459287518266467E-3"/>
    <n v="0.92"/>
    <n v="1"/>
    <n v="50.7772983804091"/>
  </r>
  <r>
    <x v="7"/>
    <x v="3"/>
    <x v="0"/>
    <n v="0.91"/>
    <x v="3"/>
    <s v="Late"/>
    <n v="1"/>
    <n v="416.00400000000002"/>
    <x v="0"/>
    <d v="2022-05-17T00:00:00"/>
    <n v="41.213631374388299"/>
    <d v="2022-06-07T00:00:00"/>
    <d v="2022-06-05T00:00:00"/>
    <n v="618.20447061582502"/>
    <n v="-2"/>
    <s v="On Time"/>
    <n v="41.213631374388335"/>
    <n v="0.42708515133657893"/>
    <n v="1.6175877845138341E-3"/>
    <n v="0.91"/>
    <n v="0"/>
    <n v="35.890230660266994"/>
  </r>
  <r>
    <x v="8"/>
    <x v="4"/>
    <x v="3"/>
    <n v="0.87"/>
    <x v="3"/>
    <s v="On Time"/>
    <n v="0"/>
    <n v="-8.5939999999999301"/>
    <x v="4"/>
    <d v="2023-01-22T00:00:00"/>
    <n v="34.485019012525399"/>
    <d v="2023-02-04T00:00:00"/>
    <d v="2023-02-09T00:00:00"/>
    <n v="379.33520913778"/>
    <n v="5"/>
    <s v="Late"/>
    <n v="34.485019012525456"/>
    <n v="0"/>
    <n v="2.6361908304609436E-3"/>
    <n v="0.87"/>
    <n v="1"/>
    <n v="46.179085724913833"/>
  </r>
  <r>
    <x v="9"/>
    <x v="6"/>
    <x v="1"/>
    <n v="0.71"/>
    <x v="1"/>
    <s v="Late"/>
    <n v="1"/>
    <n v="470.79840000000002"/>
    <x v="1"/>
    <d v="2022-03-29T00:00:00"/>
    <n v="67.721346708207093"/>
    <d v="2022-04-10T00:00:00"/>
    <d v="2022-04-11T00:00:00"/>
    <n v="812.65616049848495"/>
    <n v="1"/>
    <s v="Late"/>
    <n v="67.721346708207079"/>
    <n v="0.83558096146801497"/>
    <n v="1.2305327254107049E-3"/>
    <n v="0.71"/>
    <n v="0"/>
    <n v="38.048535211122619"/>
  </r>
  <r>
    <x v="0"/>
    <x v="4"/>
    <x v="1"/>
    <n v="0.83"/>
    <x v="0"/>
    <s v="Late"/>
    <n v="1"/>
    <n v="394.42499999999899"/>
    <x v="1"/>
    <d v="2022-11-01T00:00:00"/>
    <n v="3.7418928607113502"/>
    <d v="2022-11-18T00:00:00"/>
    <d v="2022-11-19T00:00:00"/>
    <n v="37.4189286071135"/>
    <n v="1"/>
    <s v="Late"/>
    <n v="3.7418928607113502"/>
    <n v="0.57209059460870637"/>
    <n v="2.6724442340390678E-2"/>
    <n v="0.83"/>
    <n v="0"/>
    <n v="37.143545162385848"/>
  </r>
  <r>
    <x v="1"/>
    <x v="4"/>
    <x v="3"/>
    <n v="0.74"/>
    <x v="3"/>
    <s v="Late"/>
    <n v="1"/>
    <n v="146.72879999999901"/>
    <x v="0"/>
    <d v="2021-01-21T00:00:00"/>
    <n v="60.545231380052499"/>
    <d v="2021-02-10T00:00:00"/>
    <d v="2021-02-08T00:00:00"/>
    <n v="605.45231380052496"/>
    <n v="-2"/>
    <s v="On Time"/>
    <n v="60.545231380052499"/>
    <n v="0.76481479164842203"/>
    <n v="1.6516577395217693E-3"/>
    <n v="0.74"/>
    <n v="0"/>
    <n v="37.545845565154096"/>
  </r>
  <r>
    <x v="2"/>
    <x v="6"/>
    <x v="0"/>
    <n v="0.64"/>
    <x v="2"/>
    <s v="Late"/>
    <n v="1"/>
    <n v="230.68199999999899"/>
    <x v="5"/>
    <d v="2023-11-18T00:00:00"/>
    <n v="53.956255094076297"/>
    <d v="2023-12-09T00:00:00"/>
    <d v="2023-12-12T00:00:00"/>
    <n v="755.38757131706802"/>
    <n v="3"/>
    <s v="Late"/>
    <n v="53.95625509407629"/>
    <n v="0.23854639763730592"/>
    <n v="1.323823740250894E-3"/>
    <n v="0.64"/>
    <n v="0"/>
    <n v="24.010642664953647"/>
  </r>
  <r>
    <x v="3"/>
    <x v="2"/>
    <x v="0"/>
    <n v="0.96"/>
    <x v="3"/>
    <s v="Late"/>
    <n v="1"/>
    <n v="300.93599999999901"/>
    <x v="5"/>
    <d v="2022-07-20T00:00:00"/>
    <n v="12.463036630004201"/>
    <d v="2022-08-08T00:00:00"/>
    <d v="2022-08-12T00:00:00"/>
    <n v="74.778219780025296"/>
    <n v="4"/>
    <s v="Late"/>
    <n v="12.463036630004217"/>
    <n v="0.29049671022147994"/>
    <n v="1.3372877863924748E-2"/>
    <n v="0.96"/>
    <n v="0"/>
    <n v="35.011120540347342"/>
  </r>
  <r>
    <x v="4"/>
    <x v="2"/>
    <x v="2"/>
    <n v="0.65"/>
    <x v="3"/>
    <s v="Late"/>
    <n v="1"/>
    <n v="310.14120000000003"/>
    <x v="0"/>
    <d v="2022-07-21T00:00:00"/>
    <n v="68.411900912335994"/>
    <d v="2022-08-03T00:00:00"/>
    <d v="2022-07-31T00:00:00"/>
    <n v="889.35471186036898"/>
    <n v="-3"/>
    <s v="On Time"/>
    <n v="68.41190091233608"/>
    <n v="0.22913318043071024"/>
    <n v="1.1244107515978423E-3"/>
    <n v="0.65"/>
    <n v="0"/>
    <n v="24.116395931162142"/>
  </r>
  <r>
    <x v="5"/>
    <x v="6"/>
    <x v="2"/>
    <n v="0.97"/>
    <x v="0"/>
    <s v="Late"/>
    <n v="1"/>
    <n v="56.459199999999903"/>
    <x v="5"/>
    <d v="2024-01-20T00:00:00"/>
    <n v="66.516814839441196"/>
    <d v="2024-02-11T00:00:00"/>
    <d v="2024-02-11T00:00:00"/>
    <n v="399.100889036647"/>
    <n v="0"/>
    <s v="On Time"/>
    <n v="66.516814839441167"/>
    <n v="0.38803787237318077"/>
    <n v="2.5056321032353702E-3"/>
    <n v="0.97"/>
    <n v="0"/>
    <n v="36.935926410560675"/>
  </r>
  <r>
    <x v="6"/>
    <x v="3"/>
    <x v="2"/>
    <n v="0.77"/>
    <x v="1"/>
    <s v="Late"/>
    <n v="1"/>
    <n v="145.01759999999999"/>
    <x v="3"/>
    <d v="2022-10-08T00:00:00"/>
    <n v="61.529619880981301"/>
    <d v="2022-10-24T00:00:00"/>
    <d v="2022-10-22T00:00:00"/>
    <n v="676.82581869079399"/>
    <n v="-2"/>
    <s v="On Time"/>
    <n v="61.529619880981272"/>
    <n v="0.37224316798501755"/>
    <n v="1.4774850077887577E-3"/>
    <n v="0.77"/>
    <n v="0"/>
    <n v="30.589187909934012"/>
  </r>
  <r>
    <x v="7"/>
    <x v="7"/>
    <x v="1"/>
    <n v="0.67"/>
    <x v="1"/>
    <s v="Late"/>
    <n v="1"/>
    <n v="74.418499999999995"/>
    <x v="1"/>
    <d v="2022-07-22T00:00:00"/>
    <n v="29.0789832921865"/>
    <d v="2022-08-15T00:00:00"/>
    <d v="2022-08-19T00:00:00"/>
    <n v="407.10576609061098"/>
    <n v="4"/>
    <s v="Late"/>
    <n v="29.0789832921865"/>
    <n v="0.14079253682351484"/>
    <n v="2.4563641276881998E-3"/>
    <n v="0.67"/>
    <n v="0"/>
    <n v="22.989541660300944"/>
  </r>
  <r>
    <x v="8"/>
    <x v="5"/>
    <x v="2"/>
    <n v="0.81"/>
    <x v="0"/>
    <s v="Late"/>
    <n v="1"/>
    <n v="397.4769"/>
    <x v="0"/>
    <d v="2021-07-20T00:00:00"/>
    <n v="39.443947018446003"/>
    <d v="2021-07-31T00:00:00"/>
    <d v="2021-07-30T00:00:00"/>
    <n v="315.55157614756803"/>
    <n v="-1"/>
    <s v="On Time"/>
    <n v="39.443947018446003"/>
    <n v="0.7119326306015562"/>
    <n v="3.1690540488137158E-3"/>
    <n v="0.81"/>
    <n v="0"/>
    <n v="38.633724233495535"/>
  </r>
  <r>
    <x v="9"/>
    <x v="4"/>
    <x v="0"/>
    <n v="0.94"/>
    <x v="3"/>
    <s v="Late"/>
    <n v="1"/>
    <n v="637.10220000000004"/>
    <x v="1"/>
    <d v="2023-01-01T00:00:00"/>
    <n v="29.500692003595301"/>
    <d v="2023-01-21T00:00:00"/>
    <d v="2023-01-19T00:00:00"/>
    <n v="206.50484402516699"/>
    <n v="-2"/>
    <s v="On Time"/>
    <n v="29.500692003595283"/>
    <n v="0.70730803996970504"/>
    <n v="4.8425014179237788E-3"/>
    <n v="0.94"/>
    <n v="0"/>
    <n v="42.491435841931811"/>
  </r>
  <r>
    <x v="2"/>
    <x v="3"/>
    <x v="3"/>
    <n v="0.89"/>
    <x v="1"/>
    <s v="Late"/>
    <n v="1"/>
    <n v="330.56400000000002"/>
    <x v="6"/>
    <d v="2022-10-26T00:00:00"/>
    <n v="11.152251778070401"/>
    <d v="2022-11-11T00:00:00"/>
    <d v="2022-11-17T00:00:00"/>
    <n v="89.218014224563603"/>
    <n v="6"/>
    <s v="Late"/>
    <n v="11.15225177807045"/>
    <n v="0.34592877235282304"/>
    <n v="1.1208498739760998E-2"/>
    <n v="0.89"/>
    <n v="0"/>
    <n v="33.95483040924929"/>
  </r>
  <r>
    <x v="3"/>
    <x v="4"/>
    <x v="0"/>
    <n v="0.91"/>
    <x v="1"/>
    <s v="Late"/>
    <n v="1"/>
    <n v="463.72199999999998"/>
    <x v="3"/>
    <d v="2021-03-16T00:00:00"/>
    <n v="22.223499344846399"/>
    <d v="2021-04-01T00:00:00"/>
    <d v="2021-04-03T00:00:00"/>
    <n v="355.57598951754301"/>
    <n v="2"/>
    <s v="Late"/>
    <n v="22.223499344846438"/>
    <n v="0.33759069088875976"/>
    <n v="2.8123383734566338E-3"/>
    <n v="0.91"/>
    <n v="0"/>
    <n v="34.136183968978898"/>
  </r>
  <r>
    <x v="4"/>
    <x v="5"/>
    <x v="1"/>
    <n v="0.86"/>
    <x v="3"/>
    <s v="On Time"/>
    <n v="0"/>
    <n v="533.37689999999895"/>
    <x v="2"/>
    <d v="2022-08-27T00:00:00"/>
    <n v="18.295405961935501"/>
    <d v="2022-09-16T00:00:00"/>
    <d v="2022-09-17T00:00:00"/>
    <n v="292.72649539096801"/>
    <n v="1"/>
    <s v="Late"/>
    <n v="18.295405961935501"/>
    <n v="0.86208332249082698"/>
    <n v="3.4161581399196252E-3"/>
    <n v="0.86"/>
    <n v="1"/>
    <n v="63.144151194014128"/>
  </r>
  <r>
    <x v="5"/>
    <x v="7"/>
    <x v="0"/>
    <n v="0.87"/>
    <x v="1"/>
    <s v="Late"/>
    <n v="1"/>
    <n v="7.923"/>
    <x v="3"/>
    <d v="2022-11-22T00:00:00"/>
    <n v="13.964899395945199"/>
    <d v="2022-12-15T00:00:00"/>
    <d v="2022-12-13T00:00:00"/>
    <n v="125.684094563507"/>
    <n v="-2"/>
    <s v="On Time"/>
    <n v="13.964899395945222"/>
    <n v="8.1309657099637427E-3"/>
    <n v="7.9564562522643576E-3"/>
    <n v="0.87"/>
    <n v="0"/>
    <n v="26.501313001767208"/>
  </r>
  <r>
    <x v="6"/>
    <x v="2"/>
    <x v="2"/>
    <n v="0.93"/>
    <x v="2"/>
    <s v="Late"/>
    <n v="1"/>
    <n v="-4.274"/>
    <x v="0"/>
    <d v="2021-04-08T00:00:00"/>
    <n v="19.235062112451299"/>
    <d v="2021-04-21T00:00:00"/>
    <d v="2021-04-23T00:00:00"/>
    <n v="173.115559012061"/>
    <n v="2"/>
    <s v="Late"/>
    <n v="19.235062112451221"/>
    <n v="0"/>
    <n v="5.7764882931772166E-3"/>
    <n v="0.93"/>
    <n v="0"/>
    <n v="28.073294648795322"/>
  </r>
  <r>
    <x v="7"/>
    <x v="3"/>
    <x v="1"/>
    <n v="0.7"/>
    <x v="1"/>
    <s v="On Time"/>
    <n v="0"/>
    <n v="136.95209999999901"/>
    <x v="2"/>
    <d v="2023-09-04T00:00:00"/>
    <n v="29.2868473408233"/>
    <d v="2023-09-15T00:00:00"/>
    <d v="2023-09-15T00:00:00"/>
    <n v="322.15532074905599"/>
    <n v="0"/>
    <s v="On Time"/>
    <n v="29.286847340823272"/>
    <n v="0.2262167574245266"/>
    <n v="3.1040927639340572E-3"/>
    <n v="0.7"/>
    <n v="1"/>
    <n v="45.617457931408552"/>
  </r>
  <r>
    <x v="8"/>
    <x v="1"/>
    <x v="3"/>
    <n v="0.79"/>
    <x v="2"/>
    <s v="Late"/>
    <n v="1"/>
    <n v="44.361800000000002"/>
    <x v="6"/>
    <d v="2023-08-20T00:00:00"/>
    <n v="41.620027607724801"/>
    <d v="2023-09-08T00:00:00"/>
    <d v="2023-09-10T00:00:00"/>
    <n v="249.72016564634899"/>
    <n v="2"/>
    <s v="Late"/>
    <n v="41.620027607724829"/>
    <n v="5.8518487055090967E-2"/>
    <n v="4.0044823669394373E-3"/>
    <n v="0.79"/>
    <n v="0"/>
    <n v="24.99050421211"/>
  </r>
  <r>
    <x v="9"/>
    <x v="1"/>
    <x v="2"/>
    <n v="0.69"/>
    <x v="3"/>
    <s v="Late"/>
    <n v="1"/>
    <n v="859.14239999999995"/>
    <x v="0"/>
    <d v="2023-11-13T00:00:00"/>
    <n v="3.9392567615340899"/>
    <d v="2023-11-26T00:00:00"/>
    <d v="2023-11-30T00:00:00"/>
    <n v="35.453310853806798"/>
    <n v="4"/>
    <s v="Late"/>
    <n v="3.9392567615340885"/>
    <n v="0.82260051105759513"/>
    <n v="2.8206110400338675E-2"/>
    <n v="0.69"/>
    <n v="0"/>
    <n v="37.998193533162059"/>
  </r>
  <r>
    <x v="0"/>
    <x v="5"/>
    <x v="1"/>
    <n v="0.99"/>
    <x v="3"/>
    <s v="On Time"/>
    <n v="0"/>
    <n v="233.25720000000001"/>
    <x v="4"/>
    <d v="2021-07-13T00:00:00"/>
    <n v="30.9939257580351"/>
    <d v="2021-08-01T00:00:00"/>
    <d v="2021-08-01T00:00:00"/>
    <n v="247.951406064281"/>
    <n v="0"/>
    <s v="On Time"/>
    <n v="30.993925758035125"/>
    <n v="0.29235457172035295"/>
    <n v="4.0330483132680912E-3"/>
    <n v="0.99"/>
    <n v="1"/>
    <n v="55.668082883805106"/>
  </r>
  <r>
    <x v="1"/>
    <x v="1"/>
    <x v="3"/>
    <n v="0.97"/>
    <x v="2"/>
    <s v="Late"/>
    <n v="1"/>
    <n v="1.4496"/>
    <x v="1"/>
    <d v="2024-02-06T00:00:00"/>
    <n v="12.5085517296991"/>
    <d v="2024-02-25T00:00:00"/>
    <d v="2024-02-29T00:00:00"/>
    <n v="137.59406902669099"/>
    <n v="4"/>
    <s v="Late"/>
    <n v="12.50855172969918"/>
    <n v="1.2634925947619445E-2"/>
    <n v="7.2677551225410484E-3"/>
    <n v="0.97"/>
    <n v="0"/>
    <n v="29.570731172628616"/>
  </r>
  <r>
    <x v="2"/>
    <x v="2"/>
    <x v="2"/>
    <n v="0.62"/>
    <x v="0"/>
    <s v="On Time"/>
    <n v="0"/>
    <n v="546.11760000000004"/>
    <x v="6"/>
    <d v="2023-07-03T00:00:00"/>
    <n v="34.357348654284401"/>
    <d v="2023-07-14T00:00:00"/>
    <d v="2023-07-11T00:00:00"/>
    <n v="206.14409192570599"/>
    <n v="-3"/>
    <s v="On Time"/>
    <n v="34.35734865428433"/>
    <n v="0.34434130721644496"/>
    <n v="4.8509757939625957E-3"/>
    <n v="0.62"/>
    <n v="1"/>
    <n v="45.632355418147782"/>
  </r>
  <r>
    <x v="3"/>
    <x v="5"/>
    <x v="2"/>
    <n v="0.88"/>
    <x v="2"/>
    <s v="On Time"/>
    <n v="0"/>
    <n v="330.56400000000002"/>
    <x v="1"/>
    <d v="2022-05-29T00:00:00"/>
    <n v="58.9595326985919"/>
    <d v="2022-06-22T00:00:00"/>
    <d v="2022-06-19T00:00:00"/>
    <n v="825.43345778028697"/>
    <n v="-3"/>
    <s v="On Time"/>
    <n v="58.959532698591929"/>
    <n v="0.34592877235282304"/>
    <n v="1.2114846939802373E-3"/>
    <n v="0.88"/>
    <n v="1"/>
    <n v="53.354919987875874"/>
  </r>
  <r>
    <x v="4"/>
    <x v="2"/>
    <x v="1"/>
    <n v="0.96"/>
    <x v="3"/>
    <s v="On Time"/>
    <n v="0"/>
    <n v="176.49719999999999"/>
    <x v="5"/>
    <d v="2022-08-23T00:00:00"/>
    <n v="64.533394148140005"/>
    <d v="2022-09-15T00:00:00"/>
    <d v="2022-09-21T00:00:00"/>
    <n v="645.33394148139996"/>
    <n v="6"/>
    <s v="Late"/>
    <n v="64.53339414813999"/>
    <n v="0.34676156885674136"/>
    <n v="1.549585316564079E-3"/>
    <n v="0.96"/>
    <n v="1"/>
    <n v="55.781718936631755"/>
  </r>
  <r>
    <x v="5"/>
    <x v="7"/>
    <x v="2"/>
    <n v="0.67"/>
    <x v="2"/>
    <s v="Late"/>
    <n v="1"/>
    <n v="26.921199999999999"/>
    <x v="4"/>
    <d v="2021-02-11T00:00:00"/>
    <n v="45.291430467186501"/>
    <d v="2021-02-24T00:00:00"/>
    <d v="2021-02-26T00:00:00"/>
    <n v="724.66288747498402"/>
    <n v="2"/>
    <s v="Late"/>
    <n v="45.291430467186501"/>
    <n v="3.4868353225023484E-2"/>
    <n v="1.3799519987623499E-3"/>
    <n v="0.67"/>
    <n v="0"/>
    <n v="20.838765624463342"/>
  </r>
  <r>
    <x v="6"/>
    <x v="4"/>
    <x v="2"/>
    <n v="0.82"/>
    <x v="2"/>
    <s v="On Time"/>
    <n v="0"/>
    <n v="706.8768"/>
    <x v="4"/>
    <d v="2023-12-14T00:00:00"/>
    <n v="55.316271914808503"/>
    <d v="2024-01-01T00:00:00"/>
    <d v="2023-12-31T00:00:00"/>
    <n v="829.74407872212805"/>
    <n v="-1"/>
    <s v="On Time"/>
    <n v="55.316271914808539"/>
    <n v="0.48827682702621161"/>
    <n v="1.2051908843267428E-3"/>
    <n v="0.82"/>
    <n v="1"/>
    <n v="54.401692267054024"/>
  </r>
  <r>
    <x v="7"/>
    <x v="7"/>
    <x v="2"/>
    <n v="0.96"/>
    <x v="3"/>
    <s v="Late"/>
    <n v="1"/>
    <n v="502.09079999999898"/>
    <x v="6"/>
    <d v="2023-07-17T00:00:00"/>
    <n v="8.5556294173401408"/>
    <d v="2023-08-03T00:00:00"/>
    <d v="2023-08-03T00:00:00"/>
    <n v="94.111923590741597"/>
    <n v="0"/>
    <s v="On Time"/>
    <n v="8.5556294173401444"/>
    <n v="0.50879117271167362"/>
    <n v="1.0625646165183435E-2"/>
    <n v="0.96"/>
    <n v="0"/>
    <n v="39.294592839188972"/>
  </r>
  <r>
    <x v="8"/>
    <x v="7"/>
    <x v="3"/>
    <n v="0.61"/>
    <x v="2"/>
    <s v="Late"/>
    <n v="1"/>
    <n v="381.55759999999901"/>
    <x v="4"/>
    <d v="2023-02-27T00:00:00"/>
    <n v="10.419651811877101"/>
    <d v="2023-03-14T00:00:00"/>
    <d v="2023-03-20T00:00:00"/>
    <n v="114.616169930648"/>
    <n v="6"/>
    <s v="Late"/>
    <n v="10.41965181187709"/>
    <n v="0.20950456985952795"/>
    <n v="8.7247724348587154E-3"/>
    <n v="0.61"/>
    <n v="0"/>
    <n v="22.751834570236319"/>
  </r>
  <r>
    <x v="9"/>
    <x v="2"/>
    <x v="0"/>
    <n v="0.87"/>
    <x v="3"/>
    <s v="Late"/>
    <n v="1"/>
    <n v="55.099200000000003"/>
    <x v="2"/>
    <d v="2021-03-22T00:00:00"/>
    <n v="56.051303579535798"/>
    <d v="2021-04-14T00:00:00"/>
    <d v="2021-04-12T00:00:00"/>
    <n v="504.461732215822"/>
    <n v="-2"/>
    <s v="On Time"/>
    <n v="56.051303579535777"/>
    <n v="0.45208042061319736"/>
    <n v="1.9823109190216506E-3"/>
    <n v="0.87"/>
    <n v="0"/>
    <n v="35.201077739834595"/>
  </r>
  <r>
    <x v="3"/>
    <x v="5"/>
    <x v="1"/>
    <n v="0.72"/>
    <x v="2"/>
    <s v="On Time"/>
    <n v="0"/>
    <n v="506.0034"/>
    <x v="4"/>
    <d v="2022-02-28T00:00:00"/>
    <n v="47.7200874253272"/>
    <d v="2022-03-10T00:00:00"/>
    <d v="2022-03-08T00:00:00"/>
    <n v="477.20087425327199"/>
    <n v="-2"/>
    <s v="On Time"/>
    <n v="47.7200874253272"/>
    <n v="0.28429339015567151"/>
    <n v="2.0955535791186649E-3"/>
    <n v="0.72"/>
    <n v="1"/>
    <n v="47.34873441048699"/>
  </r>
  <r>
    <x v="4"/>
    <x v="5"/>
    <x v="1"/>
    <n v="0.96"/>
    <x v="0"/>
    <s v="Late"/>
    <n v="1"/>
    <n v="20.222799999999999"/>
    <x v="1"/>
    <d v="2023-02-05T00:00:00"/>
    <n v="30.1010818390642"/>
    <d v="2023-02-18T00:00:00"/>
    <d v="2023-02-24T00:00:00"/>
    <n v="301.01081839064199"/>
    <n v="6"/>
    <s v="Late"/>
    <n v="30.1010818390642"/>
    <n v="0.10267319514141757"/>
    <n v="3.3221397335368615E-3"/>
    <n v="0.96"/>
    <n v="0"/>
    <n v="30.953128094834454"/>
  </r>
  <r>
    <x v="5"/>
    <x v="1"/>
    <x v="2"/>
    <n v="0.98"/>
    <x v="1"/>
    <s v="Late"/>
    <n v="1"/>
    <n v="117.351"/>
    <x v="1"/>
    <d v="2021-07-29T00:00:00"/>
    <n v="71.428141746603302"/>
    <d v="2021-08-10T00:00:00"/>
    <d v="2021-08-12T00:00:00"/>
    <n v="857.13770095923906"/>
    <n v="2"/>
    <s v="Late"/>
    <n v="71.428141746603259"/>
    <n v="0.17070701340187738"/>
    <n v="1.1666736848476983E-3"/>
    <n v="0.98"/>
    <n v="0"/>
    <n v="32.849140478582974"/>
  </r>
  <r>
    <x v="6"/>
    <x v="0"/>
    <x v="2"/>
    <n v="0.97"/>
    <x v="1"/>
    <s v="On Time"/>
    <n v="0"/>
    <n v="535.45519999999897"/>
    <x v="0"/>
    <d v="2023-07-06T00:00:00"/>
    <n v="58.136761708081103"/>
    <d v="2023-07-26T00:00:00"/>
    <d v="2023-07-25T00:00:00"/>
    <n v="813.914663913136"/>
    <n v="-1"/>
    <s v="On Time"/>
    <n v="58.136761708081146"/>
    <n v="0.2921681684985053"/>
    <n v="1.2286300325297047E-3"/>
    <n v="0.97"/>
    <n v="1"/>
    <n v="54.980222270945987"/>
  </r>
  <r>
    <x v="7"/>
    <x v="4"/>
    <x v="1"/>
    <n v="0.78"/>
    <x v="1"/>
    <s v="Late"/>
    <n v="1"/>
    <n v="247.75800000000001"/>
    <x v="1"/>
    <d v="2023-12-14T00:00:00"/>
    <n v="28.437389326673799"/>
    <d v="2023-12-31T00:00:00"/>
    <d v="2024-01-05T00:00:00"/>
    <n v="369.68606124676"/>
    <n v="5"/>
    <s v="Late"/>
    <n v="28.437389326673845"/>
    <n v="0.85664792647760513"/>
    <n v="2.7049978477076382E-3"/>
    <n v="0.78"/>
    <n v="0"/>
    <n v="40.614108464983332"/>
  </r>
  <r>
    <x v="8"/>
    <x v="2"/>
    <x v="2"/>
    <n v="0.94"/>
    <x v="0"/>
    <s v="Late"/>
    <n v="1"/>
    <n v="96.644399999999905"/>
    <x v="0"/>
    <d v="2022-12-11T00:00:00"/>
    <n v="19.7375151714438"/>
    <d v="2022-12-30T00:00:00"/>
    <d v="2022-12-27T00:00:00"/>
    <n v="236.85018205732601"/>
    <n v="-3"/>
    <s v="On Time"/>
    <n v="19.737515171443835"/>
    <n v="9.8307327427838251E-2"/>
    <n v="4.2220782408263682E-3"/>
    <n v="0.94"/>
    <n v="0"/>
    <n v="30.292808895781555"/>
  </r>
  <r>
    <x v="9"/>
    <x v="1"/>
    <x v="3"/>
    <n v="0.93"/>
    <x v="1"/>
    <s v="Late"/>
    <n v="1"/>
    <n v="237.59799999999899"/>
    <x v="1"/>
    <d v="2023-01-05T00:00:00"/>
    <n v="44.082646103096998"/>
    <d v="2023-01-16T00:00:00"/>
    <d v="2023-01-16T00:00:00"/>
    <n v="617.15704544335802"/>
    <n v="0"/>
    <s v="On Time"/>
    <n v="44.082646103096998"/>
    <n v="0.42485265928532495"/>
    <n v="1.6203331184230624E-3"/>
    <n v="0.93"/>
    <n v="0"/>
    <n v="36.445663179259192"/>
  </r>
  <r>
    <x v="0"/>
    <x v="3"/>
    <x v="1"/>
    <n v="0.72"/>
    <x v="3"/>
    <s v="Late"/>
    <n v="1"/>
    <n v="814.38"/>
    <x v="2"/>
    <d v="2021-01-31T00:00:00"/>
    <n v="63.542529323189797"/>
    <d v="2021-02-13T00:00:00"/>
    <d v="2021-02-11T00:00:00"/>
    <n v="635.42529323189797"/>
    <n v="-2"/>
    <s v="On Time"/>
    <n v="63.542529323189797"/>
    <n v="0.80729197644679718"/>
    <n v="1.5737491262171881E-3"/>
    <n v="0.72"/>
    <n v="0"/>
    <n v="37.793052002722462"/>
  </r>
  <r>
    <x v="1"/>
    <x v="0"/>
    <x v="2"/>
    <n v="0.92"/>
    <x v="3"/>
    <s v="Late"/>
    <n v="1"/>
    <n v="739.09199999999998"/>
    <x v="0"/>
    <d v="2022-04-12T00:00:00"/>
    <n v="52.250128102868899"/>
    <d v="2022-05-03T00:00:00"/>
    <d v="2022-04-30T00:00:00"/>
    <n v="522.50128102868905"/>
    <n v="-3"/>
    <s v="On Time"/>
    <n v="52.250128102868906"/>
    <n v="0.47861461231213964"/>
    <n v="1.9138709057922728E-3"/>
    <n v="0.92"/>
    <n v="0"/>
    <n v="37.229708373416564"/>
  </r>
  <r>
    <x v="2"/>
    <x v="0"/>
    <x v="1"/>
    <n v="0.61"/>
    <x v="1"/>
    <s v="On Time"/>
    <n v="0"/>
    <n v="53.154000000000103"/>
    <x v="3"/>
    <d v="2023-04-18T00:00:00"/>
    <n v="51.8332013936975"/>
    <d v="2023-05-11T00:00:00"/>
    <d v="2023-05-12T00:00:00"/>
    <n v="725.66481951176502"/>
    <n v="1"/>
    <s v="Late"/>
    <n v="51.8332013936975"/>
    <n v="5.9552699332477477E-2"/>
    <n v="1.3780466864478983E-3"/>
    <n v="0.61"/>
    <n v="1"/>
    <n v="39.532395387242985"/>
  </r>
  <r>
    <x v="3"/>
    <x v="2"/>
    <x v="0"/>
    <n v="0.83"/>
    <x v="0"/>
    <s v="Late"/>
    <n v="1"/>
    <n v="-84.305599999999998"/>
    <x v="5"/>
    <d v="2021-02-24T00:00:00"/>
    <n v="31.206183673390999"/>
    <d v="2021-03-07T00:00:00"/>
    <d v="2021-03-04T00:00:00"/>
    <n v="218.443285713737"/>
    <n v="-3"/>
    <s v="On Time"/>
    <n v="31.206183673390999"/>
    <n v="0"/>
    <n v="4.5778472738707485E-3"/>
    <n v="0.83"/>
    <n v="0"/>
    <n v="25.037335418216124"/>
  </r>
  <r>
    <x v="4"/>
    <x v="6"/>
    <x v="2"/>
    <n v="0.69"/>
    <x v="1"/>
    <s v="Late"/>
    <n v="1"/>
    <n v="234.48"/>
    <x v="6"/>
    <d v="2022-10-23T00:00:00"/>
    <n v="20.473486013183098"/>
    <d v="2022-11-07T00:00:00"/>
    <d v="2022-11-05T00:00:00"/>
    <n v="122.84091607909799"/>
    <n v="-2"/>
    <s v="On Time"/>
    <n v="20.473486013182999"/>
    <n v="0.90212373037857796"/>
    <n v="8.1406100826868968E-3"/>
    <n v="0.69"/>
    <n v="0"/>
    <n v="38.98669291005217"/>
  </r>
  <r>
    <x v="5"/>
    <x v="4"/>
    <x v="1"/>
    <n v="0.65"/>
    <x v="2"/>
    <s v="Late"/>
    <n v="1"/>
    <n v="25.388399999999901"/>
    <x v="1"/>
    <d v="2022-12-28T00:00:00"/>
    <n v="3.3954945593600101"/>
    <d v="2023-01-13T00:00:00"/>
    <d v="2023-01-17T00:00:00"/>
    <n v="37.350440152960203"/>
    <n v="4"/>
    <s v="Late"/>
    <n v="3.3954945593600185"/>
    <n v="0.1040387102484793"/>
    <n v="2.6773446200492636E-2"/>
    <n v="0.65"/>
    <n v="0"/>
    <n v="22.383977590984365"/>
  </r>
  <r>
    <x v="6"/>
    <x v="0"/>
    <x v="2"/>
    <n v="0.63"/>
    <x v="3"/>
    <s v="Late"/>
    <n v="1"/>
    <n v="-207.36179999999899"/>
    <x v="4"/>
    <d v="2023-07-08T00:00:00"/>
    <n v="20.0075812714385"/>
    <d v="2023-07-30T00:00:00"/>
    <d v="2023-07-27T00:00:00"/>
    <n v="200.07581271438499"/>
    <n v="-3"/>
    <s v="On Time"/>
    <n v="20.0075812714385"/>
    <n v="0"/>
    <n v="4.9981054003140997E-3"/>
    <n v="0.63"/>
    <n v="0"/>
    <n v="19.049943162009424"/>
  </r>
  <r>
    <x v="7"/>
    <x v="2"/>
    <x v="2"/>
    <n v="0.87"/>
    <x v="1"/>
    <s v="Late"/>
    <n v="1"/>
    <n v="562.04399999999896"/>
    <x v="1"/>
    <d v="2023-11-19T00:00:00"/>
    <n v="24.911667842685599"/>
    <d v="2023-12-01T00:00:00"/>
    <d v="2023-11-30T00:00:00"/>
    <n v="274.028346269542"/>
    <n v="-1"/>
    <s v="On Time"/>
    <n v="24.911667842685635"/>
    <n v="0.65975039441063743"/>
    <n v="3.6492575078943541E-3"/>
    <n v="0.87"/>
    <n v="0"/>
    <n v="39.40448561344958"/>
  </r>
  <r>
    <x v="8"/>
    <x v="2"/>
    <x v="2"/>
    <n v="0.73"/>
    <x v="3"/>
    <s v="Late"/>
    <n v="1"/>
    <n v="512.58899999999903"/>
    <x v="4"/>
    <d v="2021-12-21T00:00:00"/>
    <n v="38.998950283533098"/>
    <d v="2022-01-12T00:00:00"/>
    <d v="2022-01-13T00:00:00"/>
    <n v="428.98845311886402"/>
    <n v="1"/>
    <s v="Late"/>
    <n v="38.998950283533091"/>
    <n v="0.51396179194628755"/>
    <n v="2.3310650734995894E-3"/>
    <n v="0.73"/>
    <n v="0"/>
    <n v="32.249167791130738"/>
  </r>
  <r>
    <x v="9"/>
    <x v="1"/>
    <x v="1"/>
    <n v="0.88"/>
    <x v="3"/>
    <s v="Late"/>
    <n v="1"/>
    <n v="415.56499999999897"/>
    <x v="5"/>
    <d v="2022-07-23T00:00:00"/>
    <n v="24.951529197011201"/>
    <d v="2022-08-04T00:00:00"/>
    <d v="2022-08-08T00:00:00"/>
    <n v="174.660704379078"/>
    <n v="4"/>
    <s v="Late"/>
    <n v="24.951529197011144"/>
    <n v="0.4373378656409328"/>
    <n v="5.7253862770966042E-3"/>
    <n v="0.88"/>
    <n v="0"/>
    <n v="35.318518901131554"/>
  </r>
  <r>
    <x v="5"/>
    <x v="3"/>
    <x v="0"/>
    <n v="0.63"/>
    <x v="2"/>
    <s v="Late"/>
    <n v="1"/>
    <n v="275.44439999999997"/>
    <x v="5"/>
    <d v="2022-08-21T00:00:00"/>
    <n v="50.795884548037598"/>
    <d v="2022-09-14T00:00:00"/>
    <d v="2022-09-11T00:00:00"/>
    <n v="406.36707638430101"/>
    <n v="-3"/>
    <s v="On Time"/>
    <n v="50.795884548037627"/>
    <n v="0.39392847274780457"/>
    <n v="2.460829280013573E-3"/>
    <n v="0.63"/>
    <n v="0"/>
    <n v="26.8523943333565"/>
  </r>
  <r>
    <x v="6"/>
    <x v="6"/>
    <x v="2"/>
    <n v="0.72"/>
    <x v="3"/>
    <s v="Late"/>
    <n v="1"/>
    <n v="561.83699999999897"/>
    <x v="5"/>
    <d v="2022-08-27T00:00:00"/>
    <n v="33.672971062004699"/>
    <d v="2022-09-07T00:00:00"/>
    <d v="2022-09-09T00:00:00"/>
    <n v="303.05673955804201"/>
    <n v="2"/>
    <s v="Late"/>
    <n v="33.67297106200467"/>
    <n v="0.64207227808652612"/>
    <n v="3.2997121313267414E-3"/>
    <n v="0.72"/>
    <n v="0"/>
    <n v="34.540436925670328"/>
  </r>
  <r>
    <x v="7"/>
    <x v="4"/>
    <x v="1"/>
    <n v="0.81"/>
    <x v="1"/>
    <s v="Late"/>
    <n v="1"/>
    <n v="-24.098799999999901"/>
    <x v="4"/>
    <d v="2022-10-29T00:00:00"/>
    <n v="41.170682316881397"/>
    <d v="2022-11-11T00:00:00"/>
    <d v="2022-11-14T00:00:00"/>
    <n v="411.70682316881403"/>
    <n v="3"/>
    <s v="Late"/>
    <n v="41.170682316881404"/>
    <n v="0"/>
    <n v="2.4289128664500307E-3"/>
    <n v="0.81"/>
    <n v="0"/>
    <n v="24.372867385993498"/>
  </r>
  <r>
    <x v="8"/>
    <x v="5"/>
    <x v="2"/>
    <n v="0.91"/>
    <x v="1"/>
    <s v="Late"/>
    <n v="1"/>
    <n v="274.98750000000001"/>
    <x v="1"/>
    <d v="2021-06-26T00:00:00"/>
    <n v="55.524191077172901"/>
    <d v="2021-07-20T00:00:00"/>
    <d v="2021-07-17T00:00:00"/>
    <n v="166.57257323151799"/>
    <n v="-3"/>
    <s v="On Time"/>
    <n v="55.524191077172667"/>
    <n v="0.36164126843221384"/>
    <n v="6.0033892771177121E-3"/>
    <n v="0.91"/>
    <n v="0"/>
    <n v="34.712927046957809"/>
  </r>
  <r>
    <x v="9"/>
    <x v="7"/>
    <x v="3"/>
    <n v="0.72"/>
    <x v="0"/>
    <s v="Late"/>
    <n v="1"/>
    <n v="-16.995899999999899"/>
    <x v="5"/>
    <d v="2021-10-05T00:00:00"/>
    <n v="5.0244432684317903"/>
    <d v="2021-10-23T00:00:00"/>
    <d v="2021-10-27T00:00:00"/>
    <n v="90.439978831772294"/>
    <n v="4"/>
    <s v="Late"/>
    <n v="5.0244432684317939"/>
    <n v="0"/>
    <n v="1.1057056988703009E-2"/>
    <n v="0.72"/>
    <n v="0"/>
    <n v="21.931711709661091"/>
  </r>
  <r>
    <x v="0"/>
    <x v="3"/>
    <x v="2"/>
    <n v="0.84"/>
    <x v="3"/>
    <s v="Late"/>
    <n v="1"/>
    <n v="399.3528"/>
    <x v="2"/>
    <d v="2022-11-25T00:00:00"/>
    <n v="66.537065948821606"/>
    <d v="2022-12-07T00:00:00"/>
    <d v="2022-12-10T00:00:00"/>
    <n v="1197.66718707879"/>
    <n v="3"/>
    <s v="Late"/>
    <n v="66.537065948821663"/>
    <n v="0.34157451446893849"/>
    <n v="8.3495649775551029E-4"/>
    <n v="0.84"/>
    <n v="0"/>
    <n v="32.056538984311437"/>
  </r>
  <r>
    <x v="1"/>
    <x v="3"/>
    <x v="3"/>
    <n v="0.95"/>
    <x v="3"/>
    <s v="Late"/>
    <n v="1"/>
    <n v="244.71359999999899"/>
    <x v="0"/>
    <d v="2022-02-10T00:00:00"/>
    <n v="50.664116973312602"/>
    <d v="2022-03-06T00:00:00"/>
    <d v="2022-03-12T00:00:00"/>
    <n v="455.97705275981298"/>
    <n v="6"/>
    <s v="Late"/>
    <n v="50.664116973312552"/>
    <n v="0.85512290441885574"/>
    <n v="2.193092818920325E-3"/>
    <n v="0.95"/>
    <n v="0"/>
    <n v="45.668250872944718"/>
  </r>
  <r>
    <x v="2"/>
    <x v="1"/>
    <x v="1"/>
    <n v="0.84"/>
    <x v="3"/>
    <s v="Late"/>
    <n v="1"/>
    <n v="666.20579999999995"/>
    <x v="4"/>
    <d v="2021-01-09T00:00:00"/>
    <n v="8.6368725003252695"/>
    <d v="2021-02-01T00:00:00"/>
    <d v="2021-02-02T00:00:00"/>
    <n v="103.642470003903"/>
    <n v="1"/>
    <s v="Late"/>
    <n v="8.63687250032525"/>
    <n v="0.5084819267618379"/>
    <n v="9.6485543036782286E-3"/>
    <n v="0.84"/>
    <n v="0"/>
    <n v="35.659095164347107"/>
  </r>
  <r>
    <x v="3"/>
    <x v="5"/>
    <x v="0"/>
    <n v="0.69"/>
    <x v="3"/>
    <s v="Late"/>
    <n v="1"/>
    <n v="15.7503999999999"/>
    <x v="4"/>
    <d v="2021-03-11T00:00:00"/>
    <n v="56.459343686882399"/>
    <d v="2021-04-02T00:00:00"/>
    <d v="2021-04-03T00:00:00"/>
    <n v="508.13409318194198"/>
    <n v="1"/>
    <s v="Late"/>
    <n v="56.459343686882441"/>
    <n v="1.2515510893223948E-2"/>
    <n v="1.9679844620107806E-3"/>
    <n v="0.69"/>
    <n v="0"/>
    <n v="21.009349751724802"/>
  </r>
  <r>
    <x v="4"/>
    <x v="0"/>
    <x v="2"/>
    <n v="0.61"/>
    <x v="0"/>
    <s v="On Time"/>
    <n v="0"/>
    <n v="125.08439999999899"/>
    <x v="1"/>
    <d v="2022-02-01T00:00:00"/>
    <n v="59.133407894161103"/>
    <d v="2022-02-25T00:00:00"/>
    <d v="2022-02-24T00:00:00"/>
    <n v="827.86771051825599"/>
    <n v="-1"/>
    <s v="On Time"/>
    <n v="59.133407894161145"/>
    <n v="0.202348113220365"/>
    <n v="1.2079224582560262E-3"/>
    <n v="0.61"/>
    <n v="1"/>
    <n v="42.383199938154981"/>
  </r>
  <r>
    <x v="5"/>
    <x v="0"/>
    <x v="2"/>
    <n v="0.94"/>
    <x v="3"/>
    <s v="Late"/>
    <n v="1"/>
    <n v="23.0425"/>
    <x v="4"/>
    <d v="2022-07-02T00:00:00"/>
    <n v="68.322111259401197"/>
    <d v="2022-07-22T00:00:00"/>
    <d v="2022-07-19T00:00:00"/>
    <n v="751.543223853413"/>
    <n v="-3"/>
    <s v="On Time"/>
    <n v="68.322111259401183"/>
    <n v="2.2836005420980781E-2"/>
    <n v="1.3305954578003727E-3"/>
    <n v="0.94"/>
    <n v="0"/>
    <n v="28.696637972153628"/>
  </r>
  <r>
    <x v="6"/>
    <x v="1"/>
    <x v="2"/>
    <n v="0.61"/>
    <x v="3"/>
    <s v="Late"/>
    <n v="1"/>
    <n v="89.342399999999998"/>
    <x v="4"/>
    <d v="2022-02-10T00:00:00"/>
    <n v="61.0105986212875"/>
    <d v="2022-02-24T00:00:00"/>
    <d v="2022-02-24T00:00:00"/>
    <n v="732.12718345544999"/>
    <n v="0"/>
    <s v="On Time"/>
    <n v="61.0105986212875"/>
    <n v="0.42217837053166396"/>
    <n v="1.3658828993075491E-3"/>
    <n v="0.61"/>
    <n v="0"/>
    <n v="26.784543897612505"/>
  </r>
  <r>
    <x v="7"/>
    <x v="2"/>
    <x v="1"/>
    <n v="0.94"/>
    <x v="2"/>
    <s v="Late"/>
    <n v="1"/>
    <n v="42.275099999999803"/>
    <x v="5"/>
    <d v="2021-09-19T00:00:00"/>
    <n v="33.281793474363703"/>
    <d v="2021-10-11T00:00:00"/>
    <d v="2021-10-09T00:00:00"/>
    <n v="499.22690211545603"/>
    <n v="-2"/>
    <s v="On Time"/>
    <n v="33.281793474363738"/>
    <n v="4.0502503867968193E-2"/>
    <n v="2.0030971803853838E-3"/>
    <n v="0.94"/>
    <n v="0"/>
    <n v="29.070142992770926"/>
  </r>
  <r>
    <x v="8"/>
    <x v="0"/>
    <x v="2"/>
    <n v="0.81"/>
    <x v="2"/>
    <s v="On Time"/>
    <n v="0"/>
    <n v="213.665999999999"/>
    <x v="1"/>
    <d v="2022-04-15T00:00:00"/>
    <n v="72.416768761401002"/>
    <d v="2022-05-08T00:00:00"/>
    <d v="2022-05-13T00:00:00"/>
    <n v="724.16768761400999"/>
    <n v="5"/>
    <s v="Late"/>
    <n v="72.416768761401002"/>
    <n v="0.40607325305601055"/>
    <n v="1.3808956366098068E-3"/>
    <n v="0.81"/>
    <n v="1"/>
    <n v="52.462891930218511"/>
  </r>
  <r>
    <x v="9"/>
    <x v="6"/>
    <x v="2"/>
    <n v="0.97"/>
    <x v="1"/>
    <s v="Late"/>
    <n v="1"/>
    <n v="290.91359999999901"/>
    <x v="5"/>
    <d v="2022-12-18T00:00:00"/>
    <n v="35.8318975363973"/>
    <d v="2023-01-02T00:00:00"/>
    <d v="2023-01-05T00:00:00"/>
    <n v="429.98277043676802"/>
    <n v="3"/>
    <s v="Late"/>
    <n v="35.831897536397335"/>
    <n v="0.24782361576237769"/>
    <n v="2.3256745822262128E-3"/>
    <n v="0.97"/>
    <n v="0"/>
    <n v="34.126242552714338"/>
  </r>
  <r>
    <x v="3"/>
    <x v="4"/>
    <x v="1"/>
    <n v="0.91"/>
    <x v="3"/>
    <s v="On Time"/>
    <n v="0"/>
    <n v="509.36219999999997"/>
    <x v="0"/>
    <d v="2024-01-17T00:00:00"/>
    <n v="53.657623131039202"/>
    <d v="2024-02-09T00:00:00"/>
    <d v="2024-02-08T00:00:00"/>
    <n v="858.521970096627"/>
    <n v="-1"/>
    <s v="On Time"/>
    <n v="53.657623131039188"/>
    <n v="0.58858435996580549"/>
    <n v="1.164792556080364E-3"/>
    <n v="0.91"/>
    <n v="1"/>
    <n v="59.106630975998527"/>
  </r>
  <r>
    <x v="4"/>
    <x v="3"/>
    <x v="2"/>
    <n v="0.99"/>
    <x v="0"/>
    <s v="Late"/>
    <n v="1"/>
    <n v="106.29759999999899"/>
    <x v="0"/>
    <d v="2023-12-05T00:00:00"/>
    <n v="75.051849618908406"/>
    <d v="2023-12-26T00:00:00"/>
    <d v="2023-12-31T00:00:00"/>
    <n v="600.41479695126702"/>
    <n v="5"/>
    <s v="Late"/>
    <n v="75.051849618908378"/>
    <n v="0.39466305484269332"/>
    <n v="1.6655152489207649E-3"/>
    <n v="0.99"/>
    <n v="0"/>
    <n v="37.643226554321487"/>
  </r>
  <r>
    <x v="5"/>
    <x v="0"/>
    <x v="0"/>
    <n v="0.75"/>
    <x v="2"/>
    <s v="Late"/>
    <n v="1"/>
    <n v="313.47800000000001"/>
    <x v="5"/>
    <d v="2024-01-09T00:00:00"/>
    <n v="76.824831471027693"/>
    <d v="2024-01-21T00:00:00"/>
    <d v="2024-01-22T00:00:00"/>
    <n v="1075.54764059438"/>
    <n v="1"/>
    <s v="Late"/>
    <n v="76.824831471027139"/>
    <n v="0.28759502311013413"/>
    <n v="9.2975890816642014E-4"/>
    <n v="0.75"/>
    <n v="0"/>
    <n v="28.279793229447669"/>
  </r>
  <r>
    <x v="6"/>
    <x v="1"/>
    <x v="1"/>
    <n v="0.8"/>
    <x v="2"/>
    <s v="Late"/>
    <n v="1"/>
    <n v="157.50720000000001"/>
    <x v="0"/>
    <d v="2021-08-14T00:00:00"/>
    <n v="18.675441137430798"/>
    <d v="2021-09-03T00:00:00"/>
    <d v="2021-09-05T00:00:00"/>
    <n v="74.701764549723194"/>
    <n v="2"/>
    <s v="Late"/>
    <n v="18.675441137430798"/>
    <n v="0.26877114236335792"/>
    <n v="1.338656464178135E-2"/>
    <n v="0.8"/>
    <n v="0"/>
    <n v="29.777019786520597"/>
  </r>
  <r>
    <x v="7"/>
    <x v="2"/>
    <x v="2"/>
    <n v="0.62"/>
    <x v="3"/>
    <s v="Late"/>
    <n v="1"/>
    <n v="491.19600000000003"/>
    <x v="1"/>
    <d v="2023-06-23T00:00:00"/>
    <n v="72.014843746686793"/>
    <d v="2023-07-15T00:00:00"/>
    <d v="2023-07-14T00:00:00"/>
    <n v="792.16328121355502"/>
    <n v="-1"/>
    <s v="On Time"/>
    <n v="72.014843746686822"/>
    <n v="0.34361481249335429"/>
    <n v="1.2623660092753218E-3"/>
    <n v="0.62"/>
    <n v="0"/>
    <n v="25.510167230145349"/>
  </r>
  <r>
    <x v="8"/>
    <x v="0"/>
    <x v="2"/>
    <n v="0.66"/>
    <x v="1"/>
    <s v="Late"/>
    <n v="1"/>
    <n v="382.04399999999998"/>
    <x v="6"/>
    <d v="2024-02-28T00:00:00"/>
    <n v="18.5969604796143"/>
    <d v="2024-03-19T00:00:00"/>
    <d v="2024-03-24T00:00:00"/>
    <n v="297.55136767382999"/>
    <n v="5"/>
    <s v="Late"/>
    <n v="18.596960479614374"/>
    <n v="0.90918696633063933"/>
    <n v="3.3607642533042582E-3"/>
    <n v="0.66"/>
    <n v="0"/>
    <n v="38.084562254211917"/>
  </r>
  <r>
    <x v="9"/>
    <x v="3"/>
    <x v="2"/>
    <n v="0.89"/>
    <x v="3"/>
    <s v="Late"/>
    <n v="1"/>
    <n v="280.778199999999"/>
    <x v="5"/>
    <d v="2023-06-23T00:00:00"/>
    <n v="56.784179482850803"/>
    <d v="2023-07-09T00:00:00"/>
    <d v="2023-07-11T00:00:00"/>
    <n v="454.27343586280602"/>
    <n v="2"/>
    <s v="Late"/>
    <n v="56.784179482850753"/>
    <n v="0.76162201193408896"/>
    <n v="2.2013173587856621E-3"/>
    <n v="0.89"/>
    <n v="0"/>
    <n v="41.998479759445352"/>
  </r>
  <r>
    <x v="0"/>
    <x v="0"/>
    <x v="3"/>
    <n v="0.63"/>
    <x v="3"/>
    <s v="Late"/>
    <n v="1"/>
    <n v="175.88399999999999"/>
    <x v="2"/>
    <d v="2021-08-16T00:00:00"/>
    <n v="26.3178017025398"/>
    <d v="2021-08-27T00:00:00"/>
    <d v="2021-08-30T00:00:00"/>
    <n v="289.495818727938"/>
    <n v="3"/>
    <s v="Late"/>
    <n v="26.317801702539818"/>
    <n v="0.29190233410340155"/>
    <n v="3.4542813239723459E-3"/>
    <n v="0.63"/>
    <n v="0"/>
    <n v="24.841675121787201"/>
  </r>
  <r>
    <x v="1"/>
    <x v="1"/>
    <x v="3"/>
    <n v="0.84"/>
    <x v="3"/>
    <s v="On Time"/>
    <n v="0"/>
    <n v="120.804999999999"/>
    <x v="2"/>
    <d v="2021-03-16T00:00:00"/>
    <n v="54.547841563101301"/>
    <d v="2021-03-31T00:00:00"/>
    <d v="2021-03-29T00:00:00"/>
    <n v="600.02625719411503"/>
    <n v="-2"/>
    <s v="On Time"/>
    <n v="54.547841563101365"/>
    <n v="0.23730761297673036"/>
    <n v="1.6665937332080605E-3"/>
    <n v="0.84"/>
    <n v="1"/>
    <n v="49.996150071530856"/>
  </r>
  <r>
    <x v="2"/>
    <x v="0"/>
    <x v="2"/>
    <n v="0.7"/>
    <x v="3"/>
    <s v="Late"/>
    <n v="1"/>
    <n v="858.7278"/>
    <x v="4"/>
    <d v="2024-03-23T00:00:00"/>
    <n v="54.883859994490301"/>
    <d v="2024-04-08T00:00:00"/>
    <d v="2024-04-12T00:00:00"/>
    <n v="823.25789991735496"/>
    <n v="4"/>
    <s v="Late"/>
    <n v="54.883859994490329"/>
    <n v="0.87156791280502621"/>
    <n v="1.2146861877673908E-3"/>
    <n v="0.7"/>
    <n v="0"/>
    <n v="38.467798841733547"/>
  </r>
  <r>
    <x v="3"/>
    <x v="1"/>
    <x v="2"/>
    <n v="0.75"/>
    <x v="0"/>
    <s v="Late"/>
    <n v="1"/>
    <n v="-105.697499999999"/>
    <x v="0"/>
    <d v="2022-04-05T00:00:00"/>
    <n v="16.1981356478165"/>
    <d v="2022-04-19T00:00:00"/>
    <d v="2022-04-17T00:00:00"/>
    <n v="178.17949212598199"/>
    <n v="-2"/>
    <s v="On Time"/>
    <n v="16.198135647816546"/>
    <n v="0"/>
    <n v="5.6123181633773488E-3"/>
    <n v="0.75"/>
    <n v="0"/>
    <n v="22.668369544901317"/>
  </r>
  <r>
    <x v="4"/>
    <x v="4"/>
    <x v="2"/>
    <n v="0.71"/>
    <x v="3"/>
    <s v="Late"/>
    <n v="1"/>
    <n v="513.64"/>
    <x v="2"/>
    <d v="2021-04-20T00:00:00"/>
    <n v="61.513404688826903"/>
    <d v="2021-05-06T00:00:00"/>
    <d v="2021-05-10T00:00:00"/>
    <n v="430.593832821788"/>
    <n v="4"/>
    <s v="Late"/>
    <n v="61.51340468882686"/>
    <n v="0.40557784024509647"/>
    <n v="2.3223741813642625E-3"/>
    <n v="0.71"/>
    <n v="0"/>
    <n v="29.481228030342859"/>
  </r>
  <r>
    <x v="5"/>
    <x v="5"/>
    <x v="3"/>
    <n v="0.74"/>
    <x v="0"/>
    <s v="Late"/>
    <n v="1"/>
    <n v="535.88199999999995"/>
    <x v="4"/>
    <d v="2021-01-16T00:00:00"/>
    <n v="20.815617306055199"/>
    <d v="2021-01-29T00:00:00"/>
    <d v="2021-01-27T00:00:00"/>
    <n v="208.15617306055199"/>
    <n v="-2"/>
    <s v="On Time"/>
    <n v="20.815617306055199"/>
    <n v="0.49743892499828268"/>
    <n v="4.8040852466532573E-3"/>
    <n v="0.74"/>
    <n v="0"/>
    <n v="32.292901057365256"/>
  </r>
  <r>
    <x v="6"/>
    <x v="1"/>
    <x v="3"/>
    <n v="0.88"/>
    <x v="0"/>
    <s v="On Time"/>
    <n v="0"/>
    <n v="185.36479999999901"/>
    <x v="6"/>
    <d v="2022-09-25T00:00:00"/>
    <n v="26.000503856039099"/>
    <d v="2022-10-09T00:00:00"/>
    <d v="2022-10-13T00:00:00"/>
    <n v="338.00655012850899"/>
    <n v="4"/>
    <s v="Late"/>
    <n v="26.000503856039153"/>
    <n v="0.20520282405619664"/>
    <n v="2.958522548216309E-3"/>
    <n v="0.88"/>
    <n v="1"/>
    <n v="50.592812157570435"/>
  </r>
  <r>
    <x v="7"/>
    <x v="1"/>
    <x v="2"/>
    <n v="0.72"/>
    <x v="2"/>
    <s v="Late"/>
    <n v="1"/>
    <n v="633.69600000000003"/>
    <x v="1"/>
    <d v="2021-03-13T00:00:00"/>
    <n v="39.443253178328398"/>
    <d v="2021-04-02T00:00:00"/>
    <d v="2021-04-02T00:00:00"/>
    <n v="512.76229131826994"/>
    <n v="0"/>
    <s v="On Time"/>
    <n v="39.443253178328455"/>
    <n v="0.84860983520500954"/>
    <n v="1.9502214123996555E-3"/>
    <n v="0.72"/>
    <n v="0"/>
    <n v="38.630703346472181"/>
  </r>
  <r>
    <x v="8"/>
    <x v="6"/>
    <x v="0"/>
    <n v="0.82"/>
    <x v="3"/>
    <s v="On Time"/>
    <n v="0"/>
    <n v="394.87359999999899"/>
    <x v="1"/>
    <d v="2023-02-24T00:00:00"/>
    <n v="32.1858212361131"/>
    <d v="2023-03-10T00:00:00"/>
    <d v="2023-03-07T00:00:00"/>
    <n v="354.04403359724398"/>
    <n v="-3"/>
    <s v="On Time"/>
    <n v="32.185821236113092"/>
    <n v="0.21466196281451738"/>
    <n v="2.8245074202763922E-3"/>
    <n v="0.82"/>
    <n v="1"/>
    <n v="48.977974478898638"/>
  </r>
  <r>
    <x v="9"/>
    <x v="1"/>
    <x v="1"/>
    <n v="0.79"/>
    <x v="0"/>
    <s v="Late"/>
    <n v="1"/>
    <n v="22.3615999999999"/>
    <x v="1"/>
    <d v="2024-03-21T00:00:00"/>
    <n v="49.896043804473301"/>
    <d v="2024-04-02T00:00:00"/>
    <d v="2024-04-05T00:00:00"/>
    <n v="698.54461326262697"/>
    <n v="3"/>
    <s v="Late"/>
    <n v="49.896043804473358"/>
    <n v="4.4435118241417132E-2"/>
    <n v="1.4315477938186276E-3"/>
    <n v="0.79"/>
    <n v="0"/>
    <n v="24.6316487986429"/>
  </r>
  <r>
    <x v="3"/>
    <x v="1"/>
    <x v="3"/>
    <n v="0.86"/>
    <x v="1"/>
    <s v="Late"/>
    <n v="1"/>
    <n v="923.32449999999903"/>
    <x v="2"/>
    <d v="2021-04-23T00:00:00"/>
    <n v="55.458473919896903"/>
    <d v="2021-05-11T00:00:00"/>
    <d v="2021-05-14T00:00:00"/>
    <n v="831.87710879845395"/>
    <n v="3"/>
    <s v="Late"/>
    <n v="55.458473919896932"/>
    <n v="0.54166812106926576"/>
    <n v="1.2021006341241668E-3"/>
    <n v="0.86"/>
    <n v="0"/>
    <n v="36.669425440409043"/>
  </r>
  <r>
    <x v="4"/>
    <x v="2"/>
    <x v="3"/>
    <n v="0.97"/>
    <x v="3"/>
    <s v="Late"/>
    <n v="1"/>
    <n v="335.536"/>
    <x v="6"/>
    <d v="2021-02-18T00:00:00"/>
    <n v="69.956223480732405"/>
    <d v="2021-03-13T00:00:00"/>
    <d v="2021-03-18T00:00:00"/>
    <n v="1608.99314005684"/>
    <n v="5"/>
    <s v="Late"/>
    <n v="69.956223480732177"/>
    <n v="0.40794848850328758"/>
    <n v="6.2150668955908265E-4"/>
    <n v="0.97"/>
    <n v="0"/>
    <n v="37.277614970752524"/>
  </r>
  <r>
    <x v="5"/>
    <x v="5"/>
    <x v="0"/>
    <n v="0.89"/>
    <x v="0"/>
    <s v="Late"/>
    <n v="1"/>
    <n v="229.94519999999901"/>
    <x v="2"/>
    <d v="2022-05-25T00:00:00"/>
    <n v="37.304560794334002"/>
    <d v="2022-06-06T00:00:00"/>
    <d v="2022-06-04T00:00:00"/>
    <n v="596.87297270934403"/>
    <n v="-2"/>
    <s v="On Time"/>
    <n v="37.304560794334002"/>
    <n v="0.24210231955604197"/>
    <n v="1.6753983606608445E-3"/>
    <n v="0.89"/>
    <n v="0"/>
    <n v="31.592308341940665"/>
  </r>
  <r>
    <x v="6"/>
    <x v="4"/>
    <x v="0"/>
    <n v="0.68"/>
    <x v="1"/>
    <s v="Late"/>
    <n v="1"/>
    <n v="309.46859999999901"/>
    <x v="0"/>
    <d v="2022-10-19T00:00:00"/>
    <n v="66.8929697015584"/>
    <d v="2022-11-12T00:00:00"/>
    <d v="2022-11-16T00:00:00"/>
    <n v="401.35781820935"/>
    <n v="4"/>
    <s v="Late"/>
    <n v="66.892969701558329"/>
    <n v="0.57934629628173395"/>
    <n v="2.4915423460828054E-3"/>
    <n v="0.68"/>
    <n v="0"/>
    <n v="32.061672196017163"/>
  </r>
  <r>
    <x v="7"/>
    <x v="3"/>
    <x v="2"/>
    <n v="0.61"/>
    <x v="0"/>
    <s v="Late"/>
    <n v="1"/>
    <n v="313.36320000000001"/>
    <x v="2"/>
    <d v="2023-02-21T00:00:00"/>
    <n v="14.788230554402499"/>
    <d v="2023-03-11T00:00:00"/>
    <d v="2023-03-15T00:00:00"/>
    <n v="192.246997207232"/>
    <n v="4"/>
    <s v="Late"/>
    <n v="14.788230554402462"/>
    <n v="0.35758045478072975"/>
    <n v="5.2016417136651208E-3"/>
    <n v="0.61"/>
    <n v="0"/>
    <n v="25.607658347024547"/>
  </r>
  <r>
    <x v="8"/>
    <x v="6"/>
    <x v="2"/>
    <n v="0.7"/>
    <x v="2"/>
    <s v="Late"/>
    <n v="1"/>
    <n v="32.003999999999998"/>
    <x v="6"/>
    <d v="2022-12-29T00:00:00"/>
    <n v="75.133151705296896"/>
    <d v="2023-01-22T00:00:00"/>
    <d v="2023-01-23T00:00:00"/>
    <n v="901.59782046356304"/>
    <n v="1"/>
    <s v="Late"/>
    <n v="75.133151705296925"/>
    <n v="0.18435059100020734"/>
    <n v="1.1091419891474923E-3"/>
    <n v="0.7"/>
    <n v="0"/>
    <n v="24.720286079678569"/>
  </r>
  <r>
    <x v="9"/>
    <x v="2"/>
    <x v="1"/>
    <n v="0.83"/>
    <x v="2"/>
    <s v="Late"/>
    <n v="1"/>
    <n v="629.83129999999903"/>
    <x v="6"/>
    <d v="2022-08-07T00:00:00"/>
    <n v="27.057295990249699"/>
    <d v="2022-08-26T00:00:00"/>
    <d v="2022-08-28T00:00:00"/>
    <n v="270.57295990249702"/>
    <n v="2"/>
    <s v="Late"/>
    <n v="27.057295990249703"/>
    <n v="0.3641924762776354"/>
    <n v="3.6958608146222646E-3"/>
    <n v="0.83"/>
    <n v="0"/>
    <n v="32.294725349991374"/>
  </r>
  <r>
    <x v="0"/>
    <x v="7"/>
    <x v="1"/>
    <n v="0.62"/>
    <x v="3"/>
    <s v="On Time"/>
    <n v="0"/>
    <n v="117.1604"/>
    <x v="0"/>
    <d v="2021-01-27T00:00:00"/>
    <n v="31.485837237087001"/>
    <d v="2021-02-14T00:00:00"/>
    <d v="2021-02-12T00:00:00"/>
    <n v="251.88669789669601"/>
    <n v="-2"/>
    <s v="On Time"/>
    <n v="31.485837237087001"/>
    <n v="0.20547232166094589"/>
    <n v="3.970038943501974E-3"/>
    <n v="0.62"/>
    <n v="1"/>
    <n v="42.828547601523979"/>
  </r>
  <r>
    <x v="1"/>
    <x v="5"/>
    <x v="2"/>
    <n v="0.79"/>
    <x v="0"/>
    <s v="Late"/>
    <n v="1"/>
    <n v="443.10500000000002"/>
    <x v="6"/>
    <d v="2022-08-12T00:00:00"/>
    <n v="44.674005029691401"/>
    <d v="2022-09-01T00:00:00"/>
    <d v="2022-09-05T00:00:00"/>
    <n v="759.45808550475397"/>
    <n v="4"/>
    <s v="Late"/>
    <n v="44.674005029691408"/>
    <n v="0.54195485595122339"/>
    <n v="1.3167283607697403E-3"/>
    <n v="0.79"/>
    <n v="0"/>
    <n v="34.578598969847562"/>
  </r>
  <r>
    <x v="2"/>
    <x v="4"/>
    <x v="2"/>
    <n v="0.83"/>
    <x v="1"/>
    <s v="On Time"/>
    <n v="0"/>
    <n v="639.215499999999"/>
    <x v="6"/>
    <d v="2023-07-04T00:00:00"/>
    <n v="11.555228551424999"/>
    <d v="2023-07-14T00:00:00"/>
    <d v="2023-07-13T00:00:00"/>
    <n v="92.441828411400294"/>
    <n v="-1"/>
    <s v="On Time"/>
    <n v="11.555228551425037"/>
    <n v="0.71347744290616655"/>
    <n v="1.0817613813842263E-2"/>
    <n v="0.83"/>
    <n v="1"/>
    <n v="59.49407727253859"/>
  </r>
  <r>
    <x v="3"/>
    <x v="4"/>
    <x v="3"/>
    <n v="0.73"/>
    <x v="2"/>
    <s v="Late"/>
    <n v="1"/>
    <n v="187.30019999999999"/>
    <x v="1"/>
    <d v="2023-06-16T00:00:00"/>
    <n v="50.453160693111997"/>
    <d v="2023-07-08T00:00:00"/>
    <d v="2023-07-13T00:00:00"/>
    <n v="706.34424970356804"/>
    <n v="5"/>
    <s v="Late"/>
    <n v="50.453160693112004"/>
    <n v="0.48498214138677298"/>
    <n v="1.4157402717154854E-3"/>
    <n v="0.73"/>
    <n v="0"/>
    <n v="31.642115035886924"/>
  </r>
  <r>
    <x v="4"/>
    <x v="7"/>
    <x v="2"/>
    <n v="0.9"/>
    <x v="3"/>
    <s v="Late"/>
    <n v="1"/>
    <n v="434.99749999999898"/>
    <x v="0"/>
    <d v="2021-02-03T00:00:00"/>
    <n v="14.2051917876807"/>
    <d v="2021-02-21T00:00:00"/>
    <d v="2021-02-25T00:00:00"/>
    <n v="113.64153430144501"/>
    <n v="4"/>
    <s v="Late"/>
    <n v="14.205191787680626"/>
    <n v="0.50259821663262927"/>
    <n v="8.7995996019149536E-3"/>
    <n v="0.9"/>
    <n v="0"/>
    <n v="37.315952320710032"/>
  </r>
  <r>
    <x v="5"/>
    <x v="3"/>
    <x v="3"/>
    <n v="0.64"/>
    <x v="0"/>
    <s v="Late"/>
    <n v="1"/>
    <n v="376.96140000000003"/>
    <x v="3"/>
    <d v="2021-08-29T00:00:00"/>
    <n v="40.490000562049602"/>
    <d v="2021-09-10T00:00:00"/>
    <d v="2021-09-09T00:00:00"/>
    <n v="283.43000393434698"/>
    <n v="-1"/>
    <s v="On Time"/>
    <n v="40.490000562049566"/>
    <n v="0.28569772026252932"/>
    <n v="3.5282079741693032E-3"/>
    <n v="0.64"/>
    <n v="0"/>
    <n v="25.019800644475666"/>
  </r>
  <r>
    <x v="6"/>
    <x v="1"/>
    <x v="0"/>
    <n v="0.63"/>
    <x v="1"/>
    <s v="Late"/>
    <n v="1"/>
    <n v="237.22439999999901"/>
    <x v="3"/>
    <d v="2021-10-13T00:00:00"/>
    <n v="47.209808521034901"/>
    <d v="2021-11-04T00:00:00"/>
    <d v="2021-11-07T00:00:00"/>
    <n v="377.67846816827898"/>
    <n v="3"/>
    <s v="Late"/>
    <n v="47.209808521034873"/>
    <n v="0.64659167846874832"/>
    <n v="2.647754861032847E-3"/>
    <n v="0.63"/>
    <n v="0"/>
    <n v="31.911266215205952"/>
  </r>
  <r>
    <x v="7"/>
    <x v="2"/>
    <x v="2"/>
    <n v="0.88"/>
    <x v="0"/>
    <s v="Late"/>
    <n v="1"/>
    <n v="251.995"/>
    <x v="6"/>
    <d v="2022-06-11T00:00:00"/>
    <n v="46.9254505529453"/>
    <d v="2022-06-27T00:00:00"/>
    <d v="2022-06-25T00:00:00"/>
    <n v="469.25450552945301"/>
    <n v="-2"/>
    <s v="On Time"/>
    <n v="46.9254505529453"/>
    <n v="0.28483827759849439"/>
    <n v="2.1310397411564851E-3"/>
    <n v="0.88"/>
    <n v="0"/>
    <n v="32.160696744204586"/>
  </r>
  <r>
    <x v="8"/>
    <x v="0"/>
    <x v="0"/>
    <n v="0.79"/>
    <x v="0"/>
    <s v="On Time"/>
    <n v="0"/>
    <n v="724.26199999999903"/>
    <x v="3"/>
    <d v="2021-11-30T00:00:00"/>
    <n v="49.9536832380956"/>
    <d v="2021-12-17T00:00:00"/>
    <d v="2021-12-22T00:00:00"/>
    <n v="549.49051561905196"/>
    <n v="5"/>
    <s v="Late"/>
    <n v="49.953683238095635"/>
    <n v="0.68170198186802156"/>
    <n v="1.8198676256921513E-3"/>
    <n v="0.79"/>
    <n v="1"/>
    <n v="57.388635666131194"/>
  </r>
  <r>
    <x v="9"/>
    <x v="6"/>
    <x v="1"/>
    <n v="0.87"/>
    <x v="3"/>
    <s v="Late"/>
    <n v="1"/>
    <n v="452.64"/>
    <x v="3"/>
    <d v="2022-04-15T00:00:00"/>
    <n v="76.509659140845201"/>
    <d v="2022-04-26T00:00:00"/>
    <d v="2022-04-23T00:00:00"/>
    <n v="382.54829570422601"/>
    <n v="-3"/>
    <s v="On Time"/>
    <n v="76.509659140845201"/>
    <n v="0.70085470085470081"/>
    <n v="2.6140490265657013E-3"/>
    <n v="0.87"/>
    <n v="0"/>
    <n v="40.195515487890987"/>
  </r>
  <r>
    <x v="7"/>
    <x v="0"/>
    <x v="1"/>
    <n v="0.77"/>
    <x v="3"/>
    <s v="Late"/>
    <n v="1"/>
    <n v="346.28299999999899"/>
    <x v="6"/>
    <d v="2021-02-03T00:00:00"/>
    <n v="48.710446335786699"/>
    <d v="2021-02-23T00:00:00"/>
    <d v="2021-02-21T00:00:00"/>
    <n v="487.104463357866"/>
    <n v="-2"/>
    <s v="On Time"/>
    <n v="48.7104463357866"/>
    <n v="0.36409335462835418"/>
    <n v="2.052947725230183E-3"/>
    <n v="0.77"/>
    <n v="0"/>
    <n v="30.443455524323987"/>
  </r>
  <r>
    <x v="8"/>
    <x v="7"/>
    <x v="2"/>
    <n v="0.7"/>
    <x v="2"/>
    <s v="Late"/>
    <n v="1"/>
    <n v="868.04100000000005"/>
    <x v="3"/>
    <d v="2023-09-14T00:00:00"/>
    <n v="54.956665736723998"/>
    <d v="2023-09-27T00:00:00"/>
    <d v="2023-09-26T00:00:00"/>
    <n v="549.56665736724005"/>
    <n v="-1"/>
    <s v="On Time"/>
    <n v="54.956665736724005"/>
    <n v="0.53680828129899005"/>
    <n v="1.8196154853910001E-3"/>
    <n v="0.7"/>
    <n v="0"/>
    <n v="31.79075409054153"/>
  </r>
  <r>
    <x v="9"/>
    <x v="4"/>
    <x v="2"/>
    <n v="0.92"/>
    <x v="1"/>
    <s v="On Time"/>
    <n v="0"/>
    <n v="451.9008"/>
    <x v="2"/>
    <d v="2023-12-16T00:00:00"/>
    <n v="70.965692243761595"/>
    <d v="2024-01-02T00:00:00"/>
    <d v="2024-01-02T00:00:00"/>
    <n v="1064.48538365642"/>
    <n v="0"/>
    <s v="On Time"/>
    <n v="70.965692243761339"/>
    <n v="0.88320387256557475"/>
    <n v="9.3942107177186597E-4"/>
    <n v="0.92"/>
    <n v="1"/>
    <n v="65.292260083464654"/>
  </r>
  <r>
    <x v="0"/>
    <x v="3"/>
    <x v="0"/>
    <n v="0.91"/>
    <x v="0"/>
    <s v="Late"/>
    <n v="1"/>
    <n v="61.279999999999902"/>
    <x v="4"/>
    <d v="2023-05-09T00:00:00"/>
    <n v="23.849074283696499"/>
    <d v="2023-05-21T00:00:00"/>
    <d v="2023-05-27T00:00:00"/>
    <n v="238.49074283696501"/>
    <n v="6"/>
    <s v="Late"/>
    <n v="23.849074283696503"/>
    <n v="0.10483815780469428"/>
    <n v="4.1930348662782748E-3"/>
    <n v="0.91"/>
    <n v="0"/>
    <n v="29.522554202082237"/>
  </r>
  <r>
    <x v="1"/>
    <x v="4"/>
    <x v="3"/>
    <n v="0.87"/>
    <x v="1"/>
    <s v="Late"/>
    <n v="1"/>
    <n v="31.513599999999901"/>
    <x v="0"/>
    <d v="2022-02-05T00:00:00"/>
    <n v="79.956484674323505"/>
    <d v="2022-02-15T00:00:00"/>
    <d v="2022-02-12T00:00:00"/>
    <n v="639.65187739458804"/>
    <n v="-3"/>
    <s v="On Time"/>
    <n v="79.956484674323505"/>
    <n v="0.24675210784129603"/>
    <n v="1.5633503712568963E-3"/>
    <n v="0.87"/>
    <n v="0"/>
    <n v="31.081942667963631"/>
  </r>
  <r>
    <x v="2"/>
    <x v="6"/>
    <x v="1"/>
    <n v="0.71"/>
    <x v="3"/>
    <s v="Late"/>
    <n v="1"/>
    <n v="226.1"/>
    <x v="4"/>
    <d v="2023-05-02T00:00:00"/>
    <n v="12.3823661034943"/>
    <d v="2023-05-17T00:00:00"/>
    <d v="2023-05-20T00:00:00"/>
    <n v="148.58839324193099"/>
    <n v="3"/>
    <s v="Late"/>
    <n v="12.382366103494249"/>
    <n v="0.29627591267657311"/>
    <n v="6.7300007637326308E-3"/>
    <n v="0.71"/>
    <n v="0"/>
    <n v="27.427418276443444"/>
  </r>
  <r>
    <x v="3"/>
    <x v="4"/>
    <x v="1"/>
    <n v="0.83"/>
    <x v="3"/>
    <s v="Late"/>
    <n v="1"/>
    <n v="263.98749999999899"/>
    <x v="6"/>
    <d v="2021-11-27T00:00:00"/>
    <n v="30.9909705318444"/>
    <d v="2021-12-12T00:00:00"/>
    <d v="2021-12-10T00:00:00"/>
    <n v="247.927764254755"/>
    <n v="-2"/>
    <s v="On Time"/>
    <n v="30.990970531844376"/>
    <n v="0.49160827766009269"/>
    <n v="4.03343289528664E-3"/>
    <n v="0.83"/>
    <n v="0"/>
    <n v="34.853168540060452"/>
  </r>
  <r>
    <x v="4"/>
    <x v="4"/>
    <x v="3"/>
    <n v="0.74"/>
    <x v="2"/>
    <s v="Late"/>
    <n v="1"/>
    <n v="210.867999999999"/>
    <x v="1"/>
    <d v="2021-06-30T00:00:00"/>
    <n v="16.771079136670799"/>
    <d v="2021-07-11T00:00:00"/>
    <d v="2021-07-10T00:00:00"/>
    <n v="100.626474820025"/>
    <n v="-1"/>
    <s v="On Time"/>
    <n v="16.771079136670831"/>
    <n v="0.18932847774401759"/>
    <n v="9.9377425452749409E-3"/>
    <n v="0.74"/>
    <n v="0"/>
    <n v="26.2847018312386"/>
  </r>
  <r>
    <x v="5"/>
    <x v="6"/>
    <x v="0"/>
    <n v="0.64"/>
    <x v="0"/>
    <s v="On Time"/>
    <n v="0"/>
    <n v="46.770000000000202"/>
    <x v="0"/>
    <d v="2021-07-18T00:00:00"/>
    <n v="57.959275349880798"/>
    <d v="2021-08-01T00:00:00"/>
    <d v="2021-08-01T00:00:00"/>
    <n v="637.55202884868902"/>
    <n v="0"/>
    <s v="On Time"/>
    <n v="57.959275349880819"/>
    <n v="4.5984131197829299E-2"/>
    <n v="1.568499439654879E-3"/>
    <n v="0.64"/>
    <n v="1"/>
    <n v="40.166737607146231"/>
  </r>
  <r>
    <x v="6"/>
    <x v="2"/>
    <x v="0"/>
    <n v="0.96"/>
    <x v="0"/>
    <s v="Late"/>
    <n v="1"/>
    <n v="100.73119999999901"/>
    <x v="6"/>
    <d v="2024-02-13T00:00:00"/>
    <n v="74.689363018940199"/>
    <d v="2024-02-28T00:00:00"/>
    <d v="2024-02-27T00:00:00"/>
    <n v="597.51490415152102"/>
    <n v="-1"/>
    <s v="On Time"/>
    <n v="74.689363018940128"/>
    <n v="7.3762722508426262E-2"/>
    <n v="1.6735984208126374E-3"/>
    <n v="0.96"/>
    <n v="0"/>
    <n v="30.325462402792901"/>
  </r>
  <r>
    <x v="7"/>
    <x v="2"/>
    <x v="2"/>
    <n v="0.65"/>
    <x v="3"/>
    <s v="On Time"/>
    <n v="0"/>
    <n v="-13.189599999999899"/>
    <x v="1"/>
    <d v="2021-10-24T00:00:00"/>
    <n v="22.318775494970101"/>
    <d v="2021-11-13T00:00:00"/>
    <d v="2021-11-13T00:00:00"/>
    <n v="312.46285692958202"/>
    <n v="0"/>
    <s v="On Time"/>
    <n v="22.318775494970144"/>
    <n v="0"/>
    <n v="3.2003803902534386E-3"/>
    <n v="0.65"/>
    <n v="1"/>
    <n v="39.596011411707607"/>
  </r>
  <r>
    <x v="8"/>
    <x v="6"/>
    <x v="2"/>
    <n v="0.97"/>
    <x v="0"/>
    <s v="Late"/>
    <n v="1"/>
    <n v="548.08320000000003"/>
    <x v="4"/>
    <d v="2023-04-12T00:00:00"/>
    <n v="25.554403465401499"/>
    <d v="2023-05-06T00:00:00"/>
    <d v="2023-05-04T00:00:00"/>
    <n v="204.43522772321199"/>
    <n v="-2"/>
    <s v="On Time"/>
    <n v="25.554403465401499"/>
    <n v="0.68994812579117992"/>
    <n v="4.8915248665162316E-3"/>
    <n v="0.97"/>
    <n v="0"/>
    <n v="43.04570826181908"/>
  </r>
  <r>
    <x v="9"/>
    <x v="3"/>
    <x v="2"/>
    <n v="0.77"/>
    <x v="0"/>
    <s v="On Time"/>
    <n v="0"/>
    <n v="33.586799999999897"/>
    <x v="6"/>
    <d v="2021-09-30T00:00:00"/>
    <n v="11.9593869189803"/>
    <d v="2021-10-19T00:00:00"/>
    <d v="2021-10-19T00:00:00"/>
    <n v="59.7969345949017"/>
    <n v="0"/>
    <s v="On Time"/>
    <n v="11.959386918980339"/>
    <n v="0.18880996229062469"/>
    <n v="1.6723265277301693E-2"/>
    <n v="0.77"/>
    <n v="1"/>
    <n v="47.377897204131543"/>
  </r>
  <r>
    <x v="0"/>
    <x v="7"/>
    <x v="1"/>
    <n v="0.67"/>
    <x v="2"/>
    <s v="Late"/>
    <n v="1"/>
    <n v="306.142799999999"/>
    <x v="0"/>
    <d v="2021-05-15T00:00:00"/>
    <n v="30.991689008411701"/>
    <d v="2021-05-29T00:00:00"/>
    <d v="2021-06-04T00:00:00"/>
    <n v="371.90026810094002"/>
    <n v="6"/>
    <s v="Late"/>
    <n v="30.991689008411669"/>
    <n v="0.4179921486899178"/>
    <n v="2.6888929258006965E-3"/>
    <n v="0.67"/>
    <n v="0"/>
    <n v="28.540509761572373"/>
  </r>
  <r>
    <x v="1"/>
    <x v="5"/>
    <x v="2"/>
    <n v="0.81"/>
    <x v="2"/>
    <s v="Late"/>
    <n v="1"/>
    <n v="328.4"/>
    <x v="0"/>
    <d v="2021-05-10T00:00:00"/>
    <n v="17.740907162855802"/>
    <d v="2021-05-22T00:00:00"/>
    <d v="2021-05-26T00:00:00"/>
    <n v="195.14997879141399"/>
    <n v="4"/>
    <s v="Late"/>
    <n v="17.740907162855816"/>
    <n v="0.44702167047805724"/>
    <n v="5.1242639440348074E-3"/>
    <n v="0.81"/>
    <n v="0"/>
    <n v="33.394161327882188"/>
  </r>
  <r>
    <x v="2"/>
    <x v="4"/>
    <x v="0"/>
    <n v="0.94"/>
    <x v="1"/>
    <s v="Late"/>
    <n v="1"/>
    <n v="114.0069"/>
    <x v="5"/>
    <d v="2023-05-19T00:00:00"/>
    <n v="27.868535870263798"/>
    <d v="2023-06-09T00:00:00"/>
    <d v="2023-06-07T00:00:00"/>
    <n v="529.50218153501305"/>
    <n v="-2"/>
    <s v="On Time"/>
    <n v="27.868535870263845"/>
    <n v="0.37110787550670249"/>
    <n v="1.8885663456589092E-3"/>
    <n v="0.94"/>
    <n v="0"/>
    <n v="35.678814500503819"/>
  </r>
  <r>
    <x v="3"/>
    <x v="3"/>
    <x v="3"/>
    <n v="0.89"/>
    <x v="2"/>
    <s v="Late"/>
    <n v="1"/>
    <n v="46.816699999999898"/>
    <x v="2"/>
    <d v="2023-04-22T00:00:00"/>
    <n v="50.712710492731198"/>
    <d v="2023-05-14T00:00:00"/>
    <d v="2023-05-13T00:00:00"/>
    <n v="304.27626295638697"/>
    <n v="-1"/>
    <s v="On Time"/>
    <n v="50.712710492731162"/>
    <n v="6.2430865477871765E-2"/>
    <n v="3.2864870571364078E-3"/>
    <n v="0.89"/>
    <n v="0"/>
    <n v="28.047211921271533"/>
  </r>
  <r>
    <x v="4"/>
    <x v="4"/>
    <x v="0"/>
    <n v="0.91"/>
    <x v="2"/>
    <s v="Late"/>
    <n v="1"/>
    <n v="63.896499999999797"/>
    <x v="3"/>
    <d v="2021-01-19T00:00:00"/>
    <n v="32.976419447767299"/>
    <d v="2021-01-30T00:00:00"/>
    <d v="2021-01-30T00:00:00"/>
    <n v="428.69345282097601"/>
    <n v="0"/>
    <s v="On Time"/>
    <n v="32.976419447767384"/>
    <n v="6.1652562508654175E-2"/>
    <n v="2.332669168189055E-3"/>
    <n v="0.91"/>
    <n v="0"/>
    <n v="28.603031325218758"/>
  </r>
  <r>
    <x v="5"/>
    <x v="5"/>
    <x v="1"/>
    <n v="0.86"/>
    <x v="3"/>
    <s v="Late"/>
    <n v="1"/>
    <n v="1703.1042"/>
    <x v="1"/>
    <d v="2022-02-04T00:00:00"/>
    <n v="10.057012495192399"/>
    <d v="2022-02-24T00:00:00"/>
    <d v="2022-02-25T00:00:00"/>
    <n v="110.627137447116"/>
    <n v="1"/>
    <s v="Late"/>
    <n v="10.057012495192364"/>
    <n v="0.52152166485252738"/>
    <n v="9.0393733678414863E-3"/>
    <n v="0.86"/>
    <n v="0"/>
    <n v="36.501614498085786"/>
  </r>
  <r>
    <x v="6"/>
    <x v="7"/>
    <x v="0"/>
    <n v="0.87"/>
    <x v="2"/>
    <s v="Late"/>
    <n v="1"/>
    <n v="129.414999999999"/>
    <x v="5"/>
    <d v="2021-11-02T00:00:00"/>
    <n v="16.633463059489699"/>
    <d v="2021-11-19T00:00:00"/>
    <d v="2021-11-17T00:00:00"/>
    <n v="66.533852237958996"/>
    <n v="-2"/>
    <s v="On Time"/>
    <n v="16.633463059489749"/>
    <n v="0.54464154199019232"/>
    <n v="1.5029942899194982E-2"/>
    <n v="0.87"/>
    <n v="0"/>
    <n v="37.443729126779694"/>
  </r>
  <r>
    <x v="7"/>
    <x v="2"/>
    <x v="2"/>
    <n v="0.93"/>
    <x v="0"/>
    <s v="Late"/>
    <n v="1"/>
    <n v="295.59199999999998"/>
    <x v="3"/>
    <d v="2023-06-21T00:00:00"/>
    <n v="39.521925721653901"/>
    <d v="2023-07-05T00:00:00"/>
    <d v="2023-07-03T00:00:00"/>
    <n v="237.13155432992301"/>
    <n v="-2"/>
    <s v="On Time"/>
    <n v="39.521925721653837"/>
    <n v="0.35512859943869901"/>
    <n v="4.2170684657542121E-3"/>
    <n v="0.93"/>
    <n v="0"/>
    <n v="35.129084042746612"/>
  </r>
  <r>
    <x v="8"/>
    <x v="3"/>
    <x v="1"/>
    <n v="0.7"/>
    <x v="0"/>
    <s v="On Time"/>
    <n v="0"/>
    <n v="392.70179999999999"/>
    <x v="3"/>
    <d v="2022-07-11T00:00:00"/>
    <n v="51.798144478342202"/>
    <d v="2022-07-25T00:00:00"/>
    <d v="2022-07-26T00:00:00"/>
    <n v="414.38515582673801"/>
    <n v="1"/>
    <s v="Late"/>
    <n v="51.798144478342252"/>
    <n v="0.33738954988986558"/>
    <n v="2.4132138565748197E-3"/>
    <n v="0.7"/>
    <n v="1"/>
    <n v="47.820187413494558"/>
  </r>
  <r>
    <x v="9"/>
    <x v="1"/>
    <x v="3"/>
    <n v="0.79"/>
    <x v="1"/>
    <s v="Late"/>
    <n v="1"/>
    <n v="806.1"/>
    <x v="6"/>
    <d v="2023-10-30T00:00:00"/>
    <n v="12.1121960862999"/>
    <d v="2023-11-13T00:00:00"/>
    <d v="2023-11-19T00:00:00"/>
    <n v="96.897568690399595"/>
    <n v="6"/>
    <s v="Late"/>
    <n v="12.112196086299949"/>
    <n v="0.52713147879311018"/>
    <n v="1.0320176383322175E-2"/>
    <n v="0.79"/>
    <n v="0"/>
    <n v="34.552234867361868"/>
  </r>
  <r>
    <x v="2"/>
    <x v="1"/>
    <x v="2"/>
    <n v="0.69"/>
    <x v="3"/>
    <s v="Late"/>
    <n v="1"/>
    <n v="302.01249999999902"/>
    <x v="3"/>
    <d v="2021-12-29T00:00:00"/>
    <n v="59.882204769670302"/>
    <d v="2022-01-16T00:00:00"/>
    <d v="2022-01-16T00:00:00"/>
    <n v="598.82204769670398"/>
    <n v="0"/>
    <s v="On Time"/>
    <n v="59.882204769670395"/>
    <n v="0.23730761297673111"/>
    <n v="1.6699451929774098E-3"/>
    <n v="0.69"/>
    <n v="0"/>
    <n v="25.496250615323945"/>
  </r>
  <r>
    <x v="3"/>
    <x v="5"/>
    <x v="1"/>
    <n v="0.99"/>
    <x v="1"/>
    <s v="On Time"/>
    <n v="0"/>
    <n v="375.13249999999999"/>
    <x v="2"/>
    <d v="2022-02-07T00:00:00"/>
    <n v="30.577884722266099"/>
    <d v="2022-02-17T00:00:00"/>
    <d v="2022-02-17T00:00:00"/>
    <n v="336.35673194492699"/>
    <n v="0"/>
    <s v="On Time"/>
    <n v="30.577884722266091"/>
    <n v="0.30015822753159049"/>
    <n v="2.9730339994019622E-3"/>
    <n v="0.99"/>
    <n v="1"/>
    <n v="55.792355570613871"/>
  </r>
  <r>
    <x v="4"/>
    <x v="1"/>
    <x v="3"/>
    <n v="0.97"/>
    <x v="1"/>
    <s v="Late"/>
    <n v="1"/>
    <n v="258.75200000000001"/>
    <x v="0"/>
    <d v="2021-11-14T00:00:00"/>
    <n v="27.112482216577899"/>
    <d v="2021-12-08T00:00:00"/>
    <d v="2021-12-08T00:00:00"/>
    <n v="216.89985773262299"/>
    <n v="0"/>
    <s v="On Time"/>
    <n v="27.112482216577874"/>
    <n v="0.20356990005286879"/>
    <n v="4.6104225722117392E-3"/>
    <n v="0.97"/>
    <n v="0"/>
    <n v="33.309710678223723"/>
  </r>
  <r>
    <x v="5"/>
    <x v="2"/>
    <x v="2"/>
    <n v="0.62"/>
    <x v="0"/>
    <s v="On Time"/>
    <n v="0"/>
    <n v="128.64439999999999"/>
    <x v="5"/>
    <d v="2021-01-30T00:00:00"/>
    <n v="44.785595352356502"/>
    <d v="2021-02-20T00:00:00"/>
    <d v="2021-02-22T00:00:00"/>
    <n v="582.212739580635"/>
    <n v="2"/>
    <s v="Late"/>
    <n v="44.785595352356538"/>
    <n v="0.14994841037275544"/>
    <n v="1.7175852261843241E-3"/>
    <n v="0.62"/>
    <n v="1"/>
    <n v="41.650495764240638"/>
  </r>
  <r>
    <x v="6"/>
    <x v="5"/>
    <x v="2"/>
    <n v="0.88"/>
    <x v="1"/>
    <s v="Late"/>
    <n v="1"/>
    <n v="575.59849999999994"/>
    <x v="3"/>
    <d v="2022-04-05T00:00:00"/>
    <n v="9.5084978042195001"/>
    <d v="2022-04-27T00:00:00"/>
    <d v="2022-04-27T00:00:00"/>
    <n v="180.66145828017"/>
    <n v="0"/>
    <s v="On Time"/>
    <n v="9.5084978042194734"/>
    <n v="0.47263555360128939"/>
    <n v="5.5352149236457442E-3"/>
    <n v="0.88"/>
    <n v="0"/>
    <n v="36.018767519735164"/>
  </r>
  <r>
    <x v="7"/>
    <x v="2"/>
    <x v="1"/>
    <n v="0.96"/>
    <x v="2"/>
    <s v="Late"/>
    <n v="1"/>
    <n v="14.2338"/>
    <x v="6"/>
    <d v="2022-12-25T00:00:00"/>
    <n v="47.869275157980198"/>
    <d v="2023-01-06T00:00:00"/>
    <d v="2023-01-03T00:00:00"/>
    <n v="478.69275157980201"/>
    <n v="-3"/>
    <s v="On Time"/>
    <n v="47.869275157980198"/>
    <n v="2.4314498812614473E-2"/>
    <n v="2.0890226490786791E-3"/>
    <n v="0.96"/>
    <n v="0"/>
    <n v="29.34896065572465"/>
  </r>
  <r>
    <x v="8"/>
    <x v="7"/>
    <x v="2"/>
    <n v="0.67"/>
    <x v="1"/>
    <s v="Late"/>
    <n v="1"/>
    <n v="-2.14319999999997"/>
    <x v="2"/>
    <d v="2021-02-12T00:00:00"/>
    <n v="29.829906984975"/>
    <d v="2021-03-04T00:00:00"/>
    <d v="2021-03-04T00:00:00"/>
    <n v="268.469162864775"/>
    <n v="0"/>
    <s v="On Time"/>
    <n v="29.829906984975"/>
    <n v="0"/>
    <n v="3.7248225804752447E-3"/>
    <n v="0.67"/>
    <n v="0"/>
    <n v="20.211744677414259"/>
  </r>
  <r>
    <x v="9"/>
    <x v="4"/>
    <x v="2"/>
    <n v="0.82"/>
    <x v="0"/>
    <s v="Late"/>
    <n v="1"/>
    <n v="249.66560000000001"/>
    <x v="4"/>
    <d v="2021-07-09T00:00:00"/>
    <n v="55.189000412151501"/>
    <d v="2021-07-26T00:00:00"/>
    <d v="2021-08-01T00:00:00"/>
    <n v="772.64600577012095"/>
    <n v="6"/>
    <s v="Late"/>
    <n v="55.189000412151493"/>
    <n v="0.32665677184623532"/>
    <n v="1.2942537624371306E-3"/>
    <n v="0.82"/>
    <n v="0"/>
    <n v="31.171963049797817"/>
  </r>
  <r>
    <x v="0"/>
    <x v="7"/>
    <x v="2"/>
    <n v="0.96"/>
    <x v="1"/>
    <s v="Late"/>
    <n v="1"/>
    <n v="179.0916"/>
    <x v="0"/>
    <d v="2022-10-21T00:00:00"/>
    <n v="16.9338477456368"/>
    <d v="2022-11-03T00:00:00"/>
    <d v="2022-11-05T00:00:00"/>
    <n v="135.47078196509401"/>
    <n v="2"/>
    <s v="Late"/>
    <n v="16.933847745636751"/>
    <n v="0.29584235273595155"/>
    <n v="7.3816655185297772E-3"/>
    <n v="0.96"/>
    <n v="0"/>
    <n v="34.938297020274923"/>
  </r>
  <r>
    <x v="1"/>
    <x v="7"/>
    <x v="3"/>
    <n v="0.61"/>
    <x v="3"/>
    <s v="Late"/>
    <n v="1"/>
    <n v="187.52670000000001"/>
    <x v="0"/>
    <d v="2023-07-01T00:00:00"/>
    <n v="45.502324026506002"/>
    <d v="2023-07-11T00:00:00"/>
    <d v="2023-07-08T00:00:00"/>
    <n v="591.53021234457799"/>
    <n v="-3"/>
    <s v="On Time"/>
    <n v="45.502324026506002"/>
    <n v="0.36804819155093443"/>
    <n v="1.6905307271397327E-3"/>
    <n v="0.61"/>
    <n v="0"/>
    <n v="25.711679752832882"/>
  </r>
  <r>
    <x v="2"/>
    <x v="2"/>
    <x v="0"/>
    <n v="0.87"/>
    <x v="3"/>
    <s v="Late"/>
    <n v="1"/>
    <n v="153.27199999999999"/>
    <x v="5"/>
    <d v="2021-01-16T00:00:00"/>
    <n v="27.684592653332601"/>
    <d v="2021-02-08T00:00:00"/>
    <d v="2021-02-05T00:00:00"/>
    <n v="276.84592653332601"/>
    <n v="-3"/>
    <s v="On Time"/>
    <n v="27.684592653332601"/>
    <n v="0.70414201183431946"/>
    <n v="3.6121174420806314E-3"/>
    <n v="0.87"/>
    <n v="0"/>
    <n v="40.291203759948807"/>
  </r>
  <r>
    <x v="3"/>
    <x v="5"/>
    <x v="1"/>
    <n v="0.72"/>
    <x v="2"/>
    <s v="Late"/>
    <n v="1"/>
    <n v="453.87630000000001"/>
    <x v="0"/>
    <d v="2021-04-13T00:00:00"/>
    <n v="77.612308245394502"/>
    <d v="2021-04-28T00:00:00"/>
    <d v="2021-04-26T00:00:00"/>
    <n v="1164.1846236809099"/>
    <n v="-2"/>
    <s v="On Time"/>
    <n v="77.61230824539399"/>
    <n v="0.42039351220858162"/>
    <n v="8.5897028672154052E-4"/>
    <n v="0.72"/>
    <n v="0"/>
    <n v="30.033639352773278"/>
  </r>
  <r>
    <x v="4"/>
    <x v="5"/>
    <x v="1"/>
    <n v="0.96"/>
    <x v="3"/>
    <s v="Late"/>
    <n v="1"/>
    <n v="223.80179999999999"/>
    <x v="3"/>
    <d v="2021-04-29T00:00:00"/>
    <n v="33.034861637563999"/>
    <d v="2021-05-22T00:00:00"/>
    <d v="2021-05-21T00:00:00"/>
    <n v="528.55778620102399"/>
    <n v="-1"/>
    <s v="On Time"/>
    <n v="33.034861637563999"/>
    <n v="0.63317110929667642"/>
    <n v="1.8919407226737448E-3"/>
    <n v="0.96"/>
    <n v="0"/>
    <n v="41.520180407613736"/>
  </r>
  <r>
    <x v="5"/>
    <x v="1"/>
    <x v="2"/>
    <n v="0.98"/>
    <x v="1"/>
    <s v="On Time"/>
    <n v="0"/>
    <n v="222.3588"/>
    <x v="6"/>
    <d v="2022-12-13T00:00:00"/>
    <n v="66.597404322223795"/>
    <d v="2023-01-06T00:00:00"/>
    <d v="2023-01-05T00:00:00"/>
    <n v="532.77923457779002"/>
    <n v="-1"/>
    <s v="On Time"/>
    <n v="66.597404322223753"/>
    <n v="0.22802316914947596"/>
    <n v="1.8769500293915678E-3"/>
    <n v="0.98"/>
    <n v="1"/>
    <n v="54.016771883871264"/>
  </r>
  <r>
    <x v="6"/>
    <x v="0"/>
    <x v="2"/>
    <n v="0.97"/>
    <x v="2"/>
    <s v="Late"/>
    <n v="1"/>
    <n v="178.02420000000001"/>
    <x v="0"/>
    <d v="2023-12-10T00:00:00"/>
    <n v="10.186341348098701"/>
    <d v="2023-12-20T00:00:00"/>
    <d v="2023-12-25T00:00:00"/>
    <n v="122.236096177184"/>
    <n v="5"/>
    <s v="Late"/>
    <n v="10.186341348098667"/>
    <n v="0.43194639157848153"/>
    <n v="8.1808895348758296E-3"/>
    <n v="0.97"/>
    <n v="0"/>
    <n v="37.984354517615905"/>
  </r>
  <r>
    <x v="7"/>
    <x v="4"/>
    <x v="1"/>
    <n v="0.78"/>
    <x v="1"/>
    <s v="Late"/>
    <n v="1"/>
    <n v="451.04569999999899"/>
    <x v="0"/>
    <d v="2021-02-14T00:00:00"/>
    <n v="9.0687558119335101"/>
    <d v="2021-03-04T00:00:00"/>
    <d v="2021-03-08T00:00:00"/>
    <n v="63.481290683534503"/>
    <n v="4"/>
    <s v="Late"/>
    <n v="9.0687558119335012"/>
    <n v="0.44369120764936543"/>
    <n v="1.5752672783311501E-2"/>
    <n v="0.78"/>
    <n v="0"/>
    <n v="32.746404336486648"/>
  </r>
  <r>
    <x v="8"/>
    <x v="2"/>
    <x v="2"/>
    <n v="0.94"/>
    <x v="2"/>
    <s v="Late"/>
    <n v="1"/>
    <n v="962.33619999999905"/>
    <x v="4"/>
    <d v="2023-03-24T00:00:00"/>
    <n v="64.006494395555194"/>
    <d v="2023-04-08T00:00:00"/>
    <d v="2023-04-09T00:00:00"/>
    <n v="1024.1039103288799"/>
    <n v="1"/>
    <s v="Late"/>
    <n v="64.006494395554995"/>
    <n v="0.7280959407170815"/>
    <n v="9.7646341344293939E-4"/>
    <n v="0.94"/>
    <n v="0"/>
    <n v="42.791212716744923"/>
  </r>
  <r>
    <x v="9"/>
    <x v="1"/>
    <x v="3"/>
    <n v="0.93"/>
    <x v="2"/>
    <s v="Late"/>
    <n v="1"/>
    <n v="633.76079999999899"/>
    <x v="4"/>
    <d v="2023-09-23T00:00:00"/>
    <n v="76.866063156785501"/>
    <d v="2023-10-14T00:00:00"/>
    <d v="2023-10-18T00:00:00"/>
    <n v="922.39275788142595"/>
    <n v="4"/>
    <s v="Late"/>
    <n v="76.866063156785501"/>
    <n v="0.46105750931484246"/>
    <n v="1.0841368727751335E-3"/>
    <n v="0.93"/>
    <n v="0"/>
    <n v="37.153674292480105"/>
  </r>
  <r>
    <x v="3"/>
    <x v="3"/>
    <x v="1"/>
    <n v="0.72"/>
    <x v="3"/>
    <s v="Late"/>
    <n v="1"/>
    <n v="305.32400000000001"/>
    <x v="1"/>
    <d v="2023-09-10T00:00:00"/>
    <n v="33.344575294958901"/>
    <d v="2023-10-01T00:00:00"/>
    <d v="2023-10-04T00:00:00"/>
    <n v="366.79032824454799"/>
    <n v="3"/>
    <s v="Late"/>
    <n v="33.344575294958908"/>
    <n v="0.35524518484561485"/>
    <n v="2.7263532405174973E-3"/>
    <n v="0.72"/>
    <n v="0"/>
    <n v="28.786694294127823"/>
  </r>
  <r>
    <x v="4"/>
    <x v="0"/>
    <x v="2"/>
    <n v="0.92"/>
    <x v="2"/>
    <s v="Late"/>
    <n v="1"/>
    <n v="357.16079999999903"/>
    <x v="2"/>
    <d v="2023-09-30T00:00:00"/>
    <n v="74.103666154328394"/>
    <d v="2023-10-17T00:00:00"/>
    <d v="2023-10-23T00:00:00"/>
    <n v="963.34766000626905"/>
    <n v="6"/>
    <s v="Late"/>
    <n v="74.103666154328394"/>
    <n v="0.32457927292079164"/>
    <n v="1.0380468459263111E-3"/>
    <n v="0.92"/>
    <n v="0"/>
    <n v="34.122726863793623"/>
  </r>
  <r>
    <x v="5"/>
    <x v="0"/>
    <x v="1"/>
    <n v="0.61"/>
    <x v="0"/>
    <s v="Late"/>
    <n v="1"/>
    <n v="271.25040000000001"/>
    <x v="3"/>
    <d v="2022-03-12T00:00:00"/>
    <n v="21.432313406955199"/>
    <d v="2022-03-29T00:00:00"/>
    <d v="2022-03-31T00:00:00"/>
    <n v="171.45850725564199"/>
    <n v="2"/>
    <s v="Late"/>
    <n v="21.432313406955249"/>
    <n v="0.32452027300579145"/>
    <n v="5.8323148615134941E-3"/>
    <n v="0.61"/>
    <n v="0"/>
    <n v="24.965374905961234"/>
  </r>
  <r>
    <x v="6"/>
    <x v="2"/>
    <x v="0"/>
    <n v="0.83"/>
    <x v="2"/>
    <s v="Late"/>
    <n v="1"/>
    <n v="-69.692000000000405"/>
    <x v="0"/>
    <d v="2021-10-23T00:00:00"/>
    <n v="76.950438303983404"/>
    <d v="2021-11-04T00:00:00"/>
    <d v="2021-11-10T00:00:00"/>
    <n v="1154.2565745597501"/>
    <n v="6"/>
    <s v="Late"/>
    <n v="76.950438303983347"/>
    <n v="0"/>
    <n v="8.6635850472102725E-4"/>
    <n v="0.83"/>
    <n v="0"/>
    <n v="24.925990755141626"/>
  </r>
  <r>
    <x v="7"/>
    <x v="6"/>
    <x v="2"/>
    <n v="0.69"/>
    <x v="2"/>
    <s v="Late"/>
    <n v="1"/>
    <n v="246.52080000000001"/>
    <x v="0"/>
    <d v="2022-07-09T00:00:00"/>
    <n v="55.252846683942103"/>
    <d v="2022-07-21T00:00:00"/>
    <d v="2022-07-27T00:00:00"/>
    <n v="663.03416020730594"/>
    <n v="6"/>
    <s v="Late"/>
    <n v="55.25284668394216"/>
    <n v="0.50946596765153729"/>
    <n v="1.5082179169883757E-3"/>
    <n v="0.69"/>
    <n v="0"/>
    <n v="30.934565890540398"/>
  </r>
  <r>
    <x v="8"/>
    <x v="4"/>
    <x v="1"/>
    <n v="0.65"/>
    <x v="3"/>
    <s v="Late"/>
    <n v="1"/>
    <n v="16.324000000000002"/>
    <x v="6"/>
    <d v="2021-12-31T00:00:00"/>
    <n v="72.897932431633294"/>
    <d v="2022-01-24T00:00:00"/>
    <d v="2022-01-26T00:00:00"/>
    <n v="801.87725674796695"/>
    <n v="2"/>
    <s v="Late"/>
    <n v="72.897932431633365"/>
    <n v="6.1785589922938339E-2"/>
    <n v="1.2470736532116209E-3"/>
    <n v="0.65"/>
    <n v="0"/>
    <n v="20.773124008055117"/>
  </r>
  <r>
    <x v="9"/>
    <x v="0"/>
    <x v="2"/>
    <n v="0.63"/>
    <x v="0"/>
    <s v="Late"/>
    <n v="1"/>
    <n v="62.3292"/>
    <x v="1"/>
    <d v="2023-06-10T00:00:00"/>
    <n v="68.248321922616796"/>
    <d v="2023-06-30T00:00:00"/>
    <d v="2023-06-30T00:00:00"/>
    <n v="1023.72482883925"/>
    <n v="0"/>
    <s v="On Time"/>
    <n v="68.248321922616668"/>
    <n v="0.13256759481480285"/>
    <n v="9.768249942065483E-4"/>
    <n v="0.63"/>
    <n v="0"/>
    <n v="21.580656646122254"/>
  </r>
  <r>
    <x v="0"/>
    <x v="2"/>
    <x v="2"/>
    <n v="0.87"/>
    <x v="0"/>
    <s v="On Time"/>
    <n v="0"/>
    <n v="-7.0404000000000302"/>
    <x v="2"/>
    <d v="2023-03-02T00:00:00"/>
    <n v="12.426858633641"/>
    <d v="2023-03-22T00:00:00"/>
    <d v="2023-03-20T00:00:00"/>
    <n v="124.26858633641"/>
    <n v="-2"/>
    <s v="On Time"/>
    <n v="12.426858633641"/>
    <n v="0"/>
    <n v="8.0470859891564207E-3"/>
    <n v="0.87"/>
    <n v="1"/>
    <n v="46.341412579674696"/>
  </r>
  <r>
    <x v="1"/>
    <x v="2"/>
    <x v="2"/>
    <n v="0.73"/>
    <x v="3"/>
    <s v="On Time"/>
    <n v="0"/>
    <n v="61.752800000000001"/>
    <x v="1"/>
    <d v="2021-09-21T00:00:00"/>
    <n v="13.029709030700401"/>
    <d v="2021-10-10T00:00:00"/>
    <d v="2021-10-08T00:00:00"/>
    <n v="143.32679933770399"/>
    <n v="-2"/>
    <s v="On Time"/>
    <n v="13.029709030700362"/>
    <n v="0.2632788864596799"/>
    <n v="6.9770622425176622E-3"/>
    <n v="0.73"/>
    <n v="1"/>
    <n v="47.374889596469124"/>
  </r>
  <r>
    <x v="2"/>
    <x v="1"/>
    <x v="1"/>
    <n v="0.88"/>
    <x v="1"/>
    <s v="On Time"/>
    <n v="0"/>
    <n v="256.98599999999999"/>
    <x v="5"/>
    <d v="2022-03-23T00:00:00"/>
    <n v="36.818308194581597"/>
    <d v="2022-04-16T00:00:00"/>
    <d v="2022-04-20T00:00:00"/>
    <n v="405.00139014039701"/>
    <n v="4"/>
    <s v="Late"/>
    <n v="36.818308194581547"/>
    <n v="0.1624010374010374"/>
    <n v="2.469127327324338E-3"/>
    <n v="0.88"/>
    <n v="1"/>
    <n v="49.722094567840479"/>
  </r>
  <r>
    <x v="3"/>
    <x v="3"/>
    <x v="0"/>
    <n v="0.63"/>
    <x v="1"/>
    <s v="Late"/>
    <n v="1"/>
    <n v="20.959199999999999"/>
    <x v="2"/>
    <d v="2022-07-01T00:00:00"/>
    <n v="7.8558742183302899"/>
    <d v="2022-07-16T00:00:00"/>
    <d v="2022-07-19T00:00:00"/>
    <n v="86.414616401633197"/>
    <n v="3"/>
    <s v="Late"/>
    <n v="7.8558742183302908"/>
    <n v="6.3509032201762808E-2"/>
    <n v="1.1572116403922385E-2"/>
    <n v="0.63"/>
    <n v="0"/>
    <n v="20.517344136152929"/>
  </r>
  <r>
    <x v="4"/>
    <x v="6"/>
    <x v="2"/>
    <n v="0.72"/>
    <x v="1"/>
    <s v="Late"/>
    <n v="1"/>
    <n v="675.56639999999902"/>
    <x v="0"/>
    <d v="2021-03-20T00:00:00"/>
    <n v="37.755997190417702"/>
    <d v="2021-04-05T00:00:00"/>
    <d v="2021-04-08T00:00:00"/>
    <n v="453.07196628501299"/>
    <n v="3"/>
    <s v="Late"/>
    <n v="37.755997190417752"/>
    <n v="0.69483672376212835"/>
    <n v="2.2071548769603904E-3"/>
    <n v="0.72"/>
    <n v="0"/>
    <n v="35.562949121551377"/>
  </r>
  <r>
    <x v="5"/>
    <x v="4"/>
    <x v="1"/>
    <n v="0.81"/>
    <x v="2"/>
    <s v="Late"/>
    <n v="1"/>
    <n v="169.233599999999"/>
    <x v="0"/>
    <d v="2024-02-25T00:00:00"/>
    <n v="31.1159658719465"/>
    <d v="2024-03-18T00:00:00"/>
    <d v="2024-03-17T00:00:00"/>
    <n v="373.391590463358"/>
    <n v="-1"/>
    <s v="On Time"/>
    <n v="31.1159658719465"/>
    <n v="0.63035471644138941"/>
    <n v="2.6781535137389038E-3"/>
    <n v="0.81"/>
    <n v="0"/>
    <n v="36.987438934239961"/>
  </r>
  <r>
    <x v="6"/>
    <x v="5"/>
    <x v="2"/>
    <n v="0.91"/>
    <x v="3"/>
    <s v="Late"/>
    <n v="1"/>
    <n v="56.192"/>
    <x v="2"/>
    <d v="2022-01-15T00:00:00"/>
    <n v="13.863059640127901"/>
    <d v="2022-02-02T00:00:00"/>
    <d v="2022-01-30T00:00:00"/>
    <n v="110.90447712102301"/>
    <n v="-3"/>
    <s v="On Time"/>
    <n v="13.863059640127876"/>
    <n v="0.11010655599578323"/>
    <n v="9.0167685377458978E-3"/>
    <n v="0.91"/>
    <n v="0"/>
    <n v="29.77263417604804"/>
  </r>
  <r>
    <x v="7"/>
    <x v="7"/>
    <x v="3"/>
    <n v="0.72"/>
    <x v="0"/>
    <s v="Late"/>
    <n v="1"/>
    <n v="318.7928"/>
    <x v="0"/>
    <d v="2023-11-04T00:00:00"/>
    <n v="66.712904690513994"/>
    <d v="2023-11-15T00:00:00"/>
    <d v="2023-11-16T00:00:00"/>
    <n v="800.55485628616702"/>
    <n v="1"/>
    <s v="Late"/>
    <n v="66.712904690513923"/>
    <n v="0.32912984692845126"/>
    <n v="1.2491336379359106E-3"/>
    <n v="0.72"/>
    <n v="0"/>
    <n v="28.220070947707104"/>
  </r>
  <r>
    <x v="8"/>
    <x v="3"/>
    <x v="2"/>
    <n v="0.84"/>
    <x v="2"/>
    <s v="Late"/>
    <n v="1"/>
    <n v="375.39839999999998"/>
    <x v="3"/>
    <d v="2023-12-14T00:00:00"/>
    <n v="60.269750339739197"/>
    <d v="2024-01-07T00:00:00"/>
    <d v="2024-01-13T00:00:00"/>
    <n v="1084.8555061152999"/>
    <n v="6"/>
    <s v="Late"/>
    <n v="60.269750339738884"/>
    <n v="0.40403720343930333"/>
    <n v="9.2178174361749396E-4"/>
    <n v="0.84"/>
    <n v="0"/>
    <n v="33.308397521094591"/>
  </r>
  <r>
    <x v="9"/>
    <x v="3"/>
    <x v="3"/>
    <n v="0.95"/>
    <x v="1"/>
    <s v="On Time"/>
    <n v="0"/>
    <n v="165.95160000000001"/>
    <x v="2"/>
    <d v="2024-01-24T00:00:00"/>
    <n v="55.838172931035999"/>
    <d v="2024-02-13T00:00:00"/>
    <d v="2024-02-18T00:00:00"/>
    <n v="502.543556379324"/>
    <n v="5"/>
    <s v="Late"/>
    <n v="55.838172931035999"/>
    <n v="0.20067388045732165"/>
    <n v="1.9898772699518839E-3"/>
    <n v="0.95"/>
    <n v="1"/>
    <n v="52.573173927244987"/>
  </r>
  <r>
    <x v="5"/>
    <x v="1"/>
    <x v="1"/>
    <n v="0.84"/>
    <x v="3"/>
    <s v="Late"/>
    <n v="1"/>
    <n v="458.40839999999997"/>
    <x v="1"/>
    <d v="2022-07-20T00:00:00"/>
    <n v="27.682277550725999"/>
    <d v="2022-08-01T00:00:00"/>
    <d v="2022-08-07T00:00:00"/>
    <n v="359.86960815943797"/>
    <n v="6"/>
    <s v="Late"/>
    <n v="27.682277550725999"/>
    <n v="0.3272269225728473"/>
    <n v="2.7787842522032486E-3"/>
    <n v="0.84"/>
    <n v="0"/>
    <n v="31.827901979023043"/>
  </r>
  <r>
    <x v="6"/>
    <x v="5"/>
    <x v="0"/>
    <n v="0.69"/>
    <x v="3"/>
    <s v="Late"/>
    <n v="1"/>
    <n v="483.88200000000001"/>
    <x v="2"/>
    <d v="2022-03-02T00:00:00"/>
    <n v="52.088794943255998"/>
    <d v="2022-03-15T00:00:00"/>
    <d v="2022-03-21T00:00:00"/>
    <n v="468.79915448930399"/>
    <n v="6"/>
    <s v="Late"/>
    <n v="52.088794943255998"/>
    <n v="0.39174638436777443"/>
    <n v="2.1331096492470652E-3"/>
    <n v="0.69"/>
    <n v="0"/>
    <n v="28.598920976832897"/>
  </r>
  <r>
    <x v="7"/>
    <x v="0"/>
    <x v="2"/>
    <n v="0.61"/>
    <x v="2"/>
    <s v="On Time"/>
    <n v="0"/>
    <n v="98.3416"/>
    <x v="0"/>
    <d v="2021-08-04T00:00:00"/>
    <n v="13.9910411486869"/>
    <d v="2021-08-21T00:00:00"/>
    <d v="2021-08-20T00:00:00"/>
    <n v="153.90145263555601"/>
    <n v="-1"/>
    <s v="On Time"/>
    <n v="13.991041148686911"/>
    <n v="0.65499235388459953"/>
    <n v="6.497664465637207E-3"/>
    <n v="0.61"/>
    <n v="1"/>
    <n v="51.594777011661108"/>
  </r>
  <r>
    <x v="8"/>
    <x v="0"/>
    <x v="2"/>
    <n v="0.94"/>
    <x v="2"/>
    <s v="Late"/>
    <n v="1"/>
    <n v="129.4572"/>
    <x v="3"/>
    <d v="2023-06-07T00:00:00"/>
    <n v="68.125441736821799"/>
    <d v="2023-06-20T00:00:00"/>
    <d v="2023-06-17T00:00:00"/>
    <n v="817.50530084186096"/>
    <n v="-3"/>
    <s v="On Time"/>
    <n v="68.125441736821742"/>
    <n v="0.26455622012796082"/>
    <n v="1.2232336585098682E-3"/>
    <n v="0.94"/>
    <n v="0"/>
    <n v="33.527821412314509"/>
  </r>
  <r>
    <x v="9"/>
    <x v="1"/>
    <x v="2"/>
    <n v="0.61"/>
    <x v="2"/>
    <s v="On Time"/>
    <n v="0"/>
    <n v="1.07970000000011"/>
    <x v="3"/>
    <d v="2023-11-22T00:00:00"/>
    <n v="16.590298336726701"/>
    <d v="2023-12-08T00:00:00"/>
    <d v="2023-12-06T00:00:00"/>
    <n v="298.62537006108101"/>
    <n v="-2"/>
    <s v="On Time"/>
    <n v="16.590298336726722"/>
    <n v="1.8217259676687255E-3"/>
    <n v="3.3486773069396594E-3"/>
    <n v="0.61"/>
    <n v="1"/>
    <n v="38.436894838561564"/>
  </r>
  <r>
    <x v="0"/>
    <x v="2"/>
    <x v="1"/>
    <n v="0.94"/>
    <x v="0"/>
    <s v="Late"/>
    <n v="1"/>
    <n v="7.1258999999999997"/>
    <x v="5"/>
    <d v="2021-06-08T00:00:00"/>
    <n v="37.701849422149998"/>
    <d v="2021-06-25T00:00:00"/>
    <d v="2021-06-28T00:00:00"/>
    <n v="527.82589191010004"/>
    <n v="3"/>
    <s v="Late"/>
    <n v="37.701849422150005"/>
    <n v="2.2766024538195605E-2"/>
    <n v="1.8945641267827786E-3"/>
    <n v="0.94"/>
    <n v="0"/>
    <n v="28.71215741456739"/>
  </r>
  <r>
    <x v="1"/>
    <x v="0"/>
    <x v="2"/>
    <n v="0.81"/>
    <x v="0"/>
    <s v="On Time"/>
    <n v="0"/>
    <n v="104.09699999999999"/>
    <x v="1"/>
    <d v="2023-02-17T00:00:00"/>
    <n v="18.617803210227699"/>
    <d v="2023-03-01T00:00:00"/>
    <d v="2023-03-01T00:00:00"/>
    <n v="130.32462247159401"/>
    <n v="0"/>
    <s v="On Time"/>
    <n v="18.617803210227716"/>
    <n v="0.35014480469025916"/>
    <n v="7.6731471078534171E-3"/>
    <n v="0.81"/>
    <n v="1"/>
    <n v="51.533090507040782"/>
  </r>
  <r>
    <x v="2"/>
    <x v="6"/>
    <x v="2"/>
    <n v="0.97"/>
    <x v="0"/>
    <s v="Late"/>
    <n v="1"/>
    <n v="713.68799999999999"/>
    <x v="4"/>
    <d v="2023-10-03T00:00:00"/>
    <n v="68.034730014945794"/>
    <d v="2023-10-22T00:00:00"/>
    <d v="2023-10-22T00:00:00"/>
    <n v="816.41676017934901"/>
    <n v="0"/>
    <s v="On Time"/>
    <n v="68.034730014945751"/>
    <n v="0.47080523099331878"/>
    <n v="1.2248646142202198E-3"/>
    <n v="0.97"/>
    <n v="0"/>
    <n v="38.552850558292981"/>
  </r>
  <r>
    <x v="3"/>
    <x v="4"/>
    <x v="1"/>
    <n v="0.91"/>
    <x v="3"/>
    <s v="On Time"/>
    <n v="0"/>
    <n v="548.34799999999996"/>
    <x v="4"/>
    <d v="2024-02-12T00:00:00"/>
    <n v="45.930931092778799"/>
    <d v="2024-02-23T00:00:00"/>
    <d v="2024-02-28T00:00:00"/>
    <n v="275.58558655667298"/>
    <n v="5"/>
    <s v="Late"/>
    <n v="45.930931092778827"/>
    <n v="0.65930350555723882"/>
    <n v="3.628636796628529E-3"/>
    <n v="0.91"/>
    <n v="1"/>
    <n v="60.594929215043635"/>
  </r>
  <r>
    <x v="4"/>
    <x v="3"/>
    <x v="2"/>
    <n v="0.99"/>
    <x v="3"/>
    <s v="Late"/>
    <n v="1"/>
    <n v="334.72979999999899"/>
    <x v="2"/>
    <d v="2022-02-27T00:00:00"/>
    <n v="70.517949976877702"/>
    <d v="2022-03-11T00:00:00"/>
    <d v="2022-03-16T00:00:00"/>
    <n v="564.14359981502105"/>
    <n v="5"/>
    <s v="Late"/>
    <n v="70.517949976877631"/>
    <n v="0.94832419090811715"/>
    <n v="1.7725983248376715E-3"/>
    <n v="0.99"/>
    <n v="0"/>
    <n v="48.719661767907475"/>
  </r>
  <r>
    <x v="5"/>
    <x v="0"/>
    <x v="0"/>
    <n v="0.75"/>
    <x v="1"/>
    <s v="Late"/>
    <n v="1"/>
    <n v="33.922800000000002"/>
    <x v="0"/>
    <d v="2023-06-07T00:00:00"/>
    <n v="10.4243532815614"/>
    <d v="2023-06-26T00:00:00"/>
    <d v="2023-07-01T00:00:00"/>
    <n v="114.667886097175"/>
    <n v="5"/>
    <s v="Late"/>
    <n v="10.424353281561364"/>
    <n v="2.9064823944422224E-2"/>
    <n v="8.7208374902154606E-3"/>
    <n v="0.75"/>
    <n v="0"/>
    <n v="23.342921603594906"/>
  </r>
  <r>
    <x v="6"/>
    <x v="1"/>
    <x v="1"/>
    <n v="0.8"/>
    <x v="3"/>
    <s v="Late"/>
    <n v="1"/>
    <n v="846.64719999999897"/>
    <x v="1"/>
    <d v="2021-06-17T00:00:00"/>
    <n v="14.196997479849299"/>
    <d v="2021-07-06T00:00:00"/>
    <d v="2021-07-07T00:00:00"/>
    <n v="198.75796471789101"/>
    <n v="1"/>
    <s v="Late"/>
    <n v="14.196997479849358"/>
    <n v="0.80767895206398554"/>
    <n v="5.0312449185085963E-3"/>
    <n v="0.8"/>
    <n v="0"/>
    <n v="40.304516388834969"/>
  </r>
  <r>
    <x v="7"/>
    <x v="2"/>
    <x v="2"/>
    <n v="0.62"/>
    <x v="3"/>
    <s v="Late"/>
    <n v="1"/>
    <n v="159.63659999999899"/>
    <x v="2"/>
    <d v="2023-01-12T00:00:00"/>
    <n v="9.0133120549460592"/>
    <d v="2023-02-04T00:00:00"/>
    <d v="2023-02-01T00:00:00"/>
    <n v="81.119808494514501"/>
    <n v="-3"/>
    <s v="On Time"/>
    <n v="9.0133120549460557"/>
    <n v="0.1568052306718512"/>
    <n v="1.232744527580612E-2"/>
    <n v="0.62"/>
    <n v="0"/>
    <n v="22.10592797171121"/>
  </r>
  <r>
    <x v="8"/>
    <x v="0"/>
    <x v="2"/>
    <n v="0.66"/>
    <x v="3"/>
    <s v="Late"/>
    <n v="1"/>
    <n v="655.48400000000004"/>
    <x v="0"/>
    <d v="2021-06-26T00:00:00"/>
    <n v="25.611510105026198"/>
    <d v="2021-07-17T00:00:00"/>
    <d v="2021-07-14T00:00:00"/>
    <n v="307.33812126031398"/>
    <n v="-3"/>
    <s v="On Time"/>
    <n v="25.611510105026166"/>
    <n v="0.61102348699247933"/>
    <n v="3.253745405546371E-3"/>
    <n v="0.66"/>
    <n v="0"/>
    <n v="32.118082102015975"/>
  </r>
  <r>
    <x v="9"/>
    <x v="3"/>
    <x v="2"/>
    <n v="0.89"/>
    <x v="2"/>
    <s v="On Time"/>
    <n v="0"/>
    <n v="104.42899999999899"/>
    <x v="3"/>
    <d v="2022-03-18T00:00:00"/>
    <n v="66.771948989550907"/>
    <d v="2022-03-30T00:00:00"/>
    <d v="2022-04-03T00:00:00"/>
    <n v="801.263387874611"/>
    <n v="4"/>
    <s v="Late"/>
    <n v="66.771948989550921"/>
    <n v="0.17214640249641736"/>
    <n v="1.2480290690088153E-3"/>
    <n v="0.89"/>
    <n v="1"/>
    <n v="50.180368921998621"/>
  </r>
  <r>
    <x v="3"/>
    <x v="0"/>
    <x v="3"/>
    <n v="0.63"/>
    <x v="0"/>
    <s v="Late"/>
    <n v="1"/>
    <n v="252.59549999999899"/>
    <x v="2"/>
    <d v="2022-09-11T00:00:00"/>
    <n v="43.290321713994103"/>
    <d v="2022-09-25T00:00:00"/>
    <d v="2022-09-29T00:00:00"/>
    <n v="519.48386056792901"/>
    <n v="4"/>
    <s v="Late"/>
    <n v="43.290321713994082"/>
    <n v="0.23835486916434087"/>
    <n v="1.9249876192625958E-3"/>
    <n v="0.63"/>
    <n v="0"/>
    <n v="23.724847011864693"/>
  </r>
  <r>
    <x v="4"/>
    <x v="1"/>
    <x v="3"/>
    <n v="0.84"/>
    <x v="3"/>
    <s v="On Time"/>
    <n v="0"/>
    <n v="163.578"/>
    <x v="2"/>
    <d v="2021-11-02T00:00:00"/>
    <n v="12.781728718271101"/>
    <d v="2021-11-14T00:00:00"/>
    <d v="2021-11-18T00:00:00"/>
    <n v="140.59901590098201"/>
    <n v="4"/>
    <s v="Late"/>
    <n v="12.781728718271092"/>
    <n v="0.29971526884557459"/>
    <n v="7.1124253152970718E-3"/>
    <n v="0.84"/>
    <n v="1"/>
    <n v="51.407678136370407"/>
  </r>
  <r>
    <x v="5"/>
    <x v="0"/>
    <x v="2"/>
    <n v="0.7"/>
    <x v="1"/>
    <s v="On Time"/>
    <n v="0"/>
    <n v="509.99040000000002"/>
    <x v="0"/>
    <d v="2023-11-08T00:00:00"/>
    <n v="78.343676043460405"/>
    <d v="2023-11-21T00:00:00"/>
    <d v="2023-11-22T00:00:00"/>
    <n v="861.78043647806498"/>
    <n v="1"/>
    <s v="Late"/>
    <n v="78.343676043460448"/>
    <n v="0.81386156815883814"/>
    <n v="1.1603883746616626E-3"/>
    <n v="0.7"/>
    <n v="1"/>
    <n v="57.312043014416616"/>
  </r>
  <r>
    <x v="6"/>
    <x v="1"/>
    <x v="2"/>
    <n v="0.75"/>
    <x v="1"/>
    <s v="Late"/>
    <n v="1"/>
    <n v="220.75479999999999"/>
    <x v="4"/>
    <d v="2024-03-19T00:00:00"/>
    <n v="18.9292862842583"/>
    <d v="2024-04-10T00:00:00"/>
    <d v="2024-04-10T00:00:00"/>
    <n v="170.36357655832401"/>
    <n v="0"/>
    <s v="On Time"/>
    <n v="18.929286284258225"/>
    <n v="0.70889979859013086"/>
    <n v="5.8697992857507878E-3"/>
    <n v="0.75"/>
    <n v="0"/>
    <n v="36.854089950375133"/>
  </r>
  <r>
    <x v="7"/>
    <x v="4"/>
    <x v="2"/>
    <n v="0.71"/>
    <x v="3"/>
    <s v="Late"/>
    <n v="1"/>
    <n v="6.2455999999999898"/>
    <x v="3"/>
    <d v="2023-02-24T00:00:00"/>
    <n v="21.397357027782601"/>
    <d v="2023-03-15T00:00:00"/>
    <d v="2023-03-18T00:00:00"/>
    <n v="106.98678513891301"/>
    <n v="3"/>
    <s v="Late"/>
    <n v="21.397357027782601"/>
    <n v="3.343010807940662E-2"/>
    <n v="9.3469487722393687E-3"/>
    <n v="0.71"/>
    <n v="0"/>
    <n v="22.249010624755314"/>
  </r>
  <r>
    <x v="8"/>
    <x v="5"/>
    <x v="3"/>
    <n v="0.74"/>
    <x v="3"/>
    <s v="Late"/>
    <n v="1"/>
    <n v="622.753999999999"/>
    <x v="0"/>
    <d v="2023-10-13T00:00:00"/>
    <n v="54.100345438448798"/>
    <d v="2023-11-03T00:00:00"/>
    <d v="2023-11-02T00:00:00"/>
    <n v="378.702418069141"/>
    <n v="-1"/>
    <s v="On Time"/>
    <n v="54.100345438448713"/>
    <n v="0.48324427676392057"/>
    <n v="2.6405957614388047E-3"/>
    <n v="0.74"/>
    <n v="0"/>
    <n v="31.944103408121578"/>
  </r>
  <r>
    <x v="9"/>
    <x v="1"/>
    <x v="3"/>
    <n v="0.88"/>
    <x v="2"/>
    <s v="Late"/>
    <n v="1"/>
    <n v="559.01999999999896"/>
    <x v="3"/>
    <d v="2023-07-16T00:00:00"/>
    <n v="44.098139609661303"/>
    <d v="2023-07-26T00:00:00"/>
    <d v="2023-07-27T00:00:00"/>
    <n v="396.88325648695098"/>
    <n v="1"/>
    <s v="Late"/>
    <n v="44.098139609661217"/>
    <n v="0.69261076419863177"/>
    <n v="2.5196326215713733E-3"/>
    <n v="0.88"/>
    <n v="0"/>
    <n v="40.327804262619779"/>
  </r>
  <r>
    <x v="0"/>
    <x v="1"/>
    <x v="2"/>
    <n v="0.72"/>
    <x v="3"/>
    <s v="Late"/>
    <n v="1"/>
    <n v="154.74599999999899"/>
    <x v="3"/>
    <d v="2023-07-01T00:00:00"/>
    <n v="5.13124452542172"/>
    <d v="2023-07-11T00:00:00"/>
    <d v="2023-07-13T00:00:00"/>
    <n v="61.574934305060701"/>
    <n v="2"/>
    <s v="Late"/>
    <n v="5.1312445254217254"/>
    <n v="0.40291512396306622"/>
    <n v="1.6240374614866823E-2"/>
    <n v="0.72"/>
    <n v="0"/>
    <n v="30.145513717707328"/>
  </r>
  <r>
    <x v="1"/>
    <x v="6"/>
    <x v="0"/>
    <n v="0.82"/>
    <x v="3"/>
    <s v="On Time"/>
    <n v="0"/>
    <n v="1.43960000000004"/>
    <x v="2"/>
    <d v="2023-08-04T00:00:00"/>
    <n v="78.368268467943096"/>
    <d v="2023-08-20T00:00:00"/>
    <d v="2023-08-21T00:00:00"/>
    <n v="626.946147743545"/>
    <n v="1"/>
    <s v="Late"/>
    <n v="78.368268467943125"/>
    <n v="1.8217259676685906E-3"/>
    <n v="1.5950333271830778E-3"/>
    <n v="0.82"/>
    <n v="1"/>
    <n v="44.684285519168867"/>
  </r>
  <r>
    <x v="2"/>
    <x v="1"/>
    <x v="1"/>
    <n v="0.79"/>
    <x v="0"/>
    <s v="On Time"/>
    <n v="0"/>
    <n v="64.424000000000007"/>
    <x v="1"/>
    <d v="2023-10-13T00:00:00"/>
    <n v="9.4110025999075599"/>
    <d v="2023-10-27T00:00:00"/>
    <d v="2023-10-28T00:00:00"/>
    <n v="103.52102859898299"/>
    <n v="1"/>
    <s v="Late"/>
    <n v="9.4110025999075457"/>
    <n v="0.49654704649155262"/>
    <n v="9.6598731053356649E-3"/>
    <n v="0.79"/>
    <n v="1"/>
    <n v="53.920737122991127"/>
  </r>
  <r>
    <x v="3"/>
    <x v="1"/>
    <x v="3"/>
    <n v="0.86"/>
    <x v="2"/>
    <s v="Late"/>
    <n v="1"/>
    <n v="675.6925"/>
    <x v="3"/>
    <d v="2022-07-14T00:00:00"/>
    <n v="76.669042980393002"/>
    <d v="2022-07-30T00:00:00"/>
    <d v="2022-08-02T00:00:00"/>
    <n v="766.69042980392999"/>
    <n v="3"/>
    <s v="Late"/>
    <n v="76.669042980393002"/>
    <n v="0.94074507224130777"/>
    <n v="1.3043073985620709E-3"/>
    <n v="0.86"/>
    <n v="0"/>
    <n v="44.654030666783015"/>
  </r>
  <r>
    <x v="4"/>
    <x v="2"/>
    <x v="3"/>
    <n v="0.97"/>
    <x v="0"/>
    <s v="Late"/>
    <n v="1"/>
    <n v="259.15199999999999"/>
    <x v="5"/>
    <d v="2021-08-31T00:00:00"/>
    <n v="26.826157292881899"/>
    <d v="2021-09-19T00:00:00"/>
    <d v="2021-09-20T00:00:00"/>
    <n v="295.08773022170101"/>
    <n v="1"/>
    <s v="Late"/>
    <n v="26.826157292881909"/>
    <n v="0.37873765805580401"/>
    <n v="3.3888227045180586E-3"/>
    <n v="0.97"/>
    <n v="0"/>
    <n v="36.776417842251625"/>
  </r>
  <r>
    <x v="5"/>
    <x v="5"/>
    <x v="0"/>
    <n v="0.89"/>
    <x v="3"/>
    <s v="Late"/>
    <n v="1"/>
    <n v="279.64319999999998"/>
    <x v="2"/>
    <d v="2021-02-01T00:00:00"/>
    <n v="52.652739462248"/>
    <d v="2021-02-21T00:00:00"/>
    <d v="2021-02-25T00:00:00"/>
    <n v="473.87465516023201"/>
    <n v="4"/>
    <s v="Late"/>
    <n v="52.652739462248"/>
    <n v="0.90346442528379134"/>
    <n v="2.1102626804589673E-3"/>
    <n v="0.89"/>
    <n v="0"/>
    <n v="44.832596386089598"/>
  </r>
  <r>
    <x v="6"/>
    <x v="4"/>
    <x v="0"/>
    <n v="0.68"/>
    <x v="1"/>
    <s v="Late"/>
    <n v="1"/>
    <n v="514.26399999999899"/>
    <x v="4"/>
    <d v="2022-05-31T00:00:00"/>
    <n v="3.4939928257038702"/>
    <d v="2022-06-19T00:00:00"/>
    <d v="2022-06-21T00:00:00"/>
    <n v="38.433921082742501"/>
    <n v="2"/>
    <s v="Late"/>
    <n v="3.4939928257038635"/>
    <n v="0.36396114833781967"/>
    <n v="2.6018682763258767E-2"/>
    <n v="0.68"/>
    <n v="0"/>
    <n v="28.459783449654157"/>
  </r>
  <r>
    <x v="7"/>
    <x v="3"/>
    <x v="2"/>
    <n v="0.61"/>
    <x v="2"/>
    <s v="On Time"/>
    <n v="0"/>
    <n v="496.65499999999901"/>
    <x v="1"/>
    <d v="2021-06-20T00:00:00"/>
    <n v="52.641836511714203"/>
    <d v="2021-07-12T00:00:00"/>
    <d v="2021-07-18T00:00:00"/>
    <n v="736.98571116399899"/>
    <n v="6"/>
    <s v="Late"/>
    <n v="52.64183651171421"/>
    <n v="0.33848109288798334"/>
    <n v="1.3568784100584459E-3"/>
    <n v="0.61"/>
    <n v="1"/>
    <n v="45.110328210061418"/>
  </r>
  <r>
    <x v="8"/>
    <x v="6"/>
    <x v="2"/>
    <n v="0.7"/>
    <x v="0"/>
    <s v="Late"/>
    <n v="1"/>
    <n v="281.2448"/>
    <x v="5"/>
    <d v="2024-03-19T00:00:00"/>
    <n v="78.975853394742401"/>
    <d v="2024-03-30T00:00:00"/>
    <d v="2024-03-29T00:00:00"/>
    <n v="1026.68609413165"/>
    <n v="-1"/>
    <s v="On Time"/>
    <n v="78.975853394742302"/>
    <n v="0.51717969389016061"/>
    <n v="9.7400754302197844E-4"/>
    <n v="0.7"/>
    <n v="0"/>
    <n v="31.37281410409387"/>
  </r>
  <r>
    <x v="9"/>
    <x v="2"/>
    <x v="1"/>
    <n v="0.83"/>
    <x v="1"/>
    <s v="Late"/>
    <n v="1"/>
    <n v="75.754000000000104"/>
    <x v="5"/>
    <d v="2024-02-28T00:00:00"/>
    <n v="76.676520099655903"/>
    <d v="2024-03-23T00:00:00"/>
    <d v="2024-03-26T00:00:00"/>
    <n v="613.412160797247"/>
    <n v="3"/>
    <s v="Late"/>
    <n v="76.676520099655875"/>
    <n v="6.8250905008766377E-2"/>
    <n v="1.6302252611039008E-3"/>
    <n v="0.83"/>
    <n v="0"/>
    <n v="26.313924858008441"/>
  </r>
  <r>
    <x v="3"/>
    <x v="7"/>
    <x v="1"/>
    <n v="0.62"/>
    <x v="2"/>
    <s v="Late"/>
    <n v="1"/>
    <n v="200.454599999999"/>
    <x v="4"/>
    <d v="2024-04-08T00:00:00"/>
    <n v="21.490030423802299"/>
    <d v="2024-04-26T00:00:00"/>
    <d v="2024-04-28T00:00:00"/>
    <n v="236.39033466182499"/>
    <n v="2"/>
    <s v="Late"/>
    <n v="21.490030423802271"/>
    <n v="0.47148637225141038"/>
    <n v="4.230291401002409E-3"/>
    <n v="0.62"/>
    <n v="0"/>
    <n v="28.156636187058282"/>
  </r>
  <r>
    <x v="4"/>
    <x v="5"/>
    <x v="2"/>
    <n v="0.79"/>
    <x v="1"/>
    <s v="Late"/>
    <n v="1"/>
    <n v="220.203"/>
    <x v="1"/>
    <d v="2021-04-19T00:00:00"/>
    <n v="23.831496713734701"/>
    <d v="2021-04-29T00:00:00"/>
    <d v="2021-04-30T00:00:00"/>
    <n v="190.65197370987801"/>
    <n v="1"/>
    <s v="Late"/>
    <n v="23.831496713734751"/>
    <n v="0.52790903402593481"/>
    <n v="5.2451594417886075E-3"/>
    <n v="0.79"/>
    <n v="0"/>
    <n v="34.415535463772351"/>
  </r>
  <r>
    <x v="5"/>
    <x v="4"/>
    <x v="2"/>
    <n v="0.83"/>
    <x v="0"/>
    <s v="On Time"/>
    <n v="0"/>
    <n v="37.868399999999902"/>
    <x v="2"/>
    <d v="2023-03-04T00:00:00"/>
    <n v="8.0761752917325502"/>
    <d v="2023-03-23T00:00:00"/>
    <d v="2023-03-23T00:00:00"/>
    <n v="96.914103500790603"/>
    <n v="0"/>
    <s v="On Time"/>
    <n v="8.0761752917325502"/>
    <n v="6.2064245354081012E-2"/>
    <n v="1.031841562659497E-2"/>
    <n v="0.83"/>
    <n v="1"/>
    <n v="46.450837375879466"/>
  </r>
  <r>
    <x v="6"/>
    <x v="4"/>
    <x v="3"/>
    <n v="0.73"/>
    <x v="1"/>
    <s v="Late"/>
    <n v="1"/>
    <n v="358.178"/>
    <x v="6"/>
    <d v="2021-06-18T00:00:00"/>
    <n v="62.105210859092502"/>
    <d v="2021-07-06T00:00:00"/>
    <d v="2021-07-04T00:00:00"/>
    <n v="683.15731945001801"/>
    <n v="-2"/>
    <s v="On Time"/>
    <n v="62.105210859092544"/>
    <n v="0.80196046821963696"/>
    <n v="1.4637916794993269E-3"/>
    <n v="0.73"/>
    <n v="0"/>
    <n v="37.983123114777719"/>
  </r>
  <r>
    <x v="7"/>
    <x v="7"/>
    <x v="2"/>
    <n v="0.9"/>
    <x v="2"/>
    <s v="Late"/>
    <n v="1"/>
    <n v="254.55"/>
    <x v="1"/>
    <d v="2024-01-09T00:00:00"/>
    <n v="41.663547117221"/>
    <d v="2024-01-26T00:00:00"/>
    <d v="2024-01-26T00:00:00"/>
    <n v="416.63547117220998"/>
    <n v="0"/>
    <s v="On Time"/>
    <n v="41.663547117221"/>
    <n v="0.38737216946676406"/>
    <n v="2.4001796995020263E-3"/>
    <n v="0.9"/>
    <n v="0"/>
    <n v="34.819448780320336"/>
  </r>
  <r>
    <x v="8"/>
    <x v="3"/>
    <x v="3"/>
    <n v="0.64"/>
    <x v="1"/>
    <s v="Late"/>
    <n v="1"/>
    <n v="269.45600000000002"/>
    <x v="4"/>
    <d v="2021-06-11T00:00:00"/>
    <n v="43.041852399869803"/>
    <d v="2021-07-01T00:00:00"/>
    <d v="2021-06-28T00:00:00"/>
    <n v="688.66963839791595"/>
    <n v="-3"/>
    <s v="On Time"/>
    <n v="43.041852399869747"/>
    <n v="0.82976941269215621"/>
    <n v="1.4520750505661122E-3"/>
    <n v="0.64"/>
    <n v="0"/>
    <n v="35.83895050536011"/>
  </r>
  <r>
    <x v="9"/>
    <x v="1"/>
    <x v="0"/>
    <n v="0.63"/>
    <x v="1"/>
    <s v="On Time"/>
    <n v="0"/>
    <n v="43.563600000000001"/>
    <x v="5"/>
    <d v="2021-05-24T00:00:00"/>
    <n v="28.626855043828701"/>
    <d v="2021-06-16T00:00:00"/>
    <d v="2021-06-17T00:00:00"/>
    <n v="458.029680701259"/>
    <n v="1"/>
    <s v="Late"/>
    <n v="28.626855043828687"/>
    <n v="0.12241656634733082"/>
    <n v="2.1832646270192927E-3"/>
    <n v="0.63"/>
    <n v="1"/>
    <n v="41.413829265757194"/>
  </r>
  <r>
    <x v="0"/>
    <x v="2"/>
    <x v="2"/>
    <n v="0.88"/>
    <x v="2"/>
    <s v="Late"/>
    <n v="1"/>
    <n v="2.64"/>
    <x v="2"/>
    <d v="2022-03-27T00:00:00"/>
    <n v="57.085016689539898"/>
    <d v="2022-04-18T00:00:00"/>
    <d v="2022-04-21T00:00:00"/>
    <n v="570.85016689539896"/>
    <n v="3"/>
    <s v="Late"/>
    <n v="57.085016689539898"/>
    <n v="3.5928143712574849E-2"/>
    <n v="1.7517731586881313E-3"/>
    <n v="0.88"/>
    <n v="0"/>
    <n v="27.171116069012147"/>
  </r>
  <r>
    <x v="1"/>
    <x v="0"/>
    <x v="0"/>
    <n v="0.79"/>
    <x v="0"/>
    <s v="Late"/>
    <n v="1"/>
    <n v="29.801600000000001"/>
    <x v="1"/>
    <d v="2022-04-18T00:00:00"/>
    <n v="23.876158539248099"/>
    <d v="2022-04-28T00:00:00"/>
    <d v="2022-05-02T00:00:00"/>
    <n v="262.63774393172901"/>
    <n v="4"/>
    <s v="Late"/>
    <n v="23.876158539248092"/>
    <n v="6.6491507393101681E-2"/>
    <n v="3.8075258530241699E-3"/>
    <n v="0.79"/>
    <n v="0"/>
    <n v="25.144055923452758"/>
  </r>
  <r>
    <x v="2"/>
    <x v="6"/>
    <x v="1"/>
    <n v="0.87"/>
    <x v="2"/>
    <s v="Late"/>
    <n v="1"/>
    <n v="326.589"/>
    <x v="6"/>
    <d v="2024-03-06T00:00:00"/>
    <n v="10.0427797676367"/>
    <d v="2024-03-22T00:00:00"/>
    <d v="2024-03-25T00:00:00"/>
    <n v="70.299458373457099"/>
    <n v="3"/>
    <s v="Late"/>
    <n v="10.042779767636729"/>
    <n v="0.47459053199234469"/>
    <n v="1.4224860662334336E-2"/>
    <n v="0.87"/>
    <n v="0"/>
    <n v="36.018556459716919"/>
  </r>
  <r>
    <x v="3"/>
    <x v="0"/>
    <x v="1"/>
    <n v="0.77"/>
    <x v="2"/>
    <s v="On Time"/>
    <n v="0"/>
    <n v="39.517599999999902"/>
    <x v="6"/>
    <d v="2022-02-10T00:00:00"/>
    <n v="69.430328558470094"/>
    <d v="2022-02-28T00:00:00"/>
    <d v="2022-03-06T00:00:00"/>
    <n v="555.44262846775996"/>
    <n v="6"/>
    <s v="Late"/>
    <n v="69.430328558469995"/>
    <n v="2.6847698539646445E-2"/>
    <n v="1.8003659581523168E-3"/>
    <n v="0.77"/>
    <n v="1"/>
    <n v="43.690964949537495"/>
  </r>
  <r>
    <x v="4"/>
    <x v="7"/>
    <x v="2"/>
    <n v="0.7"/>
    <x v="2"/>
    <s v="On Time"/>
    <n v="0"/>
    <n v="494.86749999999898"/>
    <x v="3"/>
    <d v="2024-03-04T00:00:00"/>
    <n v="53.609390064827799"/>
    <d v="2024-03-22T00:00:00"/>
    <d v="2024-03-27T00:00:00"/>
    <n v="696.92207084276095"/>
    <n v="5"/>
    <s v="Late"/>
    <n v="53.609390064827764"/>
    <n v="0.70522325579738143"/>
    <n v="1.4348806585946384E-3"/>
    <n v="0.7"/>
    <n v="1"/>
    <n v="55.147511535705476"/>
  </r>
  <r>
    <x v="5"/>
    <x v="4"/>
    <x v="2"/>
    <n v="0.92"/>
    <x v="2"/>
    <s v="Late"/>
    <n v="1"/>
    <n v="386.1112"/>
    <x v="3"/>
    <d v="2022-11-17T00:00:00"/>
    <n v="32.848178888499703"/>
    <d v="2022-12-10T00:00:00"/>
    <d v="2022-12-12T00:00:00"/>
    <n v="361.32996777349598"/>
    <n v="2"/>
    <s v="Late"/>
    <n v="32.848178888499632"/>
    <n v="0.47443646790636684"/>
    <n v="2.7675534530445093E-3"/>
    <n v="0.92"/>
    <n v="0"/>
    <n v="37.171755961718681"/>
  </r>
  <r>
    <x v="6"/>
    <x v="3"/>
    <x v="0"/>
    <n v="0.91"/>
    <x v="0"/>
    <s v="Late"/>
    <n v="1"/>
    <n v="549.76800000000003"/>
    <x v="0"/>
    <d v="2023-07-15T00:00:00"/>
    <n v="57.980531610390003"/>
    <d v="2023-08-01T00:00:00"/>
    <d v="2023-08-04T00:00:00"/>
    <n v="405.86372127273"/>
    <n v="3"/>
    <s v="Late"/>
    <n v="57.980531610390003"/>
    <n v="0.45835084138703802"/>
    <n v="2.4638812182181361E-3"/>
    <n v="0.91"/>
    <n v="0"/>
    <n v="36.540933264287304"/>
  </r>
  <r>
    <x v="7"/>
    <x v="4"/>
    <x v="3"/>
    <n v="0.87"/>
    <x v="1"/>
    <s v="Late"/>
    <n v="1"/>
    <n v="646.53499999999894"/>
    <x v="4"/>
    <d v="2021-01-18T00:00:00"/>
    <n v="63.810143819086697"/>
    <d v="2021-01-29T00:00:00"/>
    <d v="2021-01-28T00:00:00"/>
    <n v="382.86086291452"/>
    <n v="-1"/>
    <s v="On Time"/>
    <n v="63.810143819086669"/>
    <n v="0.63884648258212939"/>
    <n v="2.6119149196591205E-3"/>
    <n v="0.87"/>
    <n v="0"/>
    <n v="38.955287099232358"/>
  </r>
  <r>
    <x v="8"/>
    <x v="6"/>
    <x v="1"/>
    <n v="0.71"/>
    <x v="1"/>
    <s v="Late"/>
    <n v="1"/>
    <n v="213.72"/>
    <x v="1"/>
    <d v="2022-06-17T00:00:00"/>
    <n v="56.840723950559301"/>
    <d v="2022-07-02T00:00:00"/>
    <d v="2022-07-08T00:00:00"/>
    <n v="284.20361975279599"/>
    <n v="6"/>
    <s v="Late"/>
    <n v="56.840723950559195"/>
    <n v="0.39830034663982999"/>
    <n v="3.5186040236567465E-3"/>
    <n v="0.71"/>
    <n v="0"/>
    <n v="29.371565053506306"/>
  </r>
  <r>
    <x v="9"/>
    <x v="4"/>
    <x v="1"/>
    <n v="0.83"/>
    <x v="3"/>
    <s v="Late"/>
    <n v="1"/>
    <n v="-120.706599999999"/>
    <x v="1"/>
    <d v="2023-07-12T00:00:00"/>
    <n v="60.069912302026196"/>
    <d v="2023-07-25T00:00:00"/>
    <d v="2023-07-29T00:00:00"/>
    <n v="780.90885992634105"/>
    <n v="4"/>
    <s v="Late"/>
    <n v="60.069912302026232"/>
    <n v="0"/>
    <n v="1.2805591680626145E-3"/>
    <n v="0.83"/>
    <n v="0"/>
    <n v="24.938416775041876"/>
  </r>
  <r>
    <x v="7"/>
    <x v="4"/>
    <x v="3"/>
    <n v="0.74"/>
    <x v="2"/>
    <s v="Late"/>
    <n v="1"/>
    <n v="480.99400000000003"/>
    <x v="0"/>
    <d v="2023-02-25T00:00:00"/>
    <n v="71.565113910148597"/>
    <d v="2023-03-12T00:00:00"/>
    <d v="2023-03-18T00:00:00"/>
    <n v="715.65113910148602"/>
    <n v="6"/>
    <s v="Late"/>
    <n v="71.565113910148597"/>
    <n v="0.69746271210526167"/>
    <n v="1.3973288734725128E-3"/>
    <n v="0.74"/>
    <n v="0"/>
    <n v="36.191174108309411"/>
  </r>
  <r>
    <x v="8"/>
    <x v="6"/>
    <x v="0"/>
    <n v="0.64"/>
    <x v="1"/>
    <s v="Late"/>
    <n v="1"/>
    <n v="38.555499999999903"/>
    <x v="5"/>
    <d v="2023-02-09T00:00:00"/>
    <n v="57.476374674558002"/>
    <d v="2023-03-05T00:00:00"/>
    <d v="2023-03-02T00:00:00"/>
    <n v="862.14562011836995"/>
    <n v="-3"/>
    <s v="On Time"/>
    <n v="57.476374674557995"/>
    <n v="0.10126052020259696"/>
    <n v="1.1598968627396183E-3"/>
    <n v="0.64"/>
    <n v="0"/>
    <n v="21.260007309934128"/>
  </r>
  <r>
    <x v="9"/>
    <x v="2"/>
    <x v="0"/>
    <n v="0.96"/>
    <x v="0"/>
    <s v="Late"/>
    <n v="1"/>
    <n v="169.78800000000001"/>
    <x v="5"/>
    <d v="2021-11-09T00:00:00"/>
    <n v="45.7775549235865"/>
    <d v="2021-11-19T00:00:00"/>
    <d v="2021-11-20T00:00:00"/>
    <n v="549.33065908303797"/>
    <n v="1"/>
    <s v="Late"/>
    <n v="45.7775549235865"/>
    <n v="0.51678293582672852"/>
    <n v="1.8203972115250859E-3"/>
    <n v="0.96"/>
    <n v="0"/>
    <n v="39.190270632880321"/>
  </r>
  <r>
    <x v="0"/>
    <x v="2"/>
    <x v="2"/>
    <n v="0.65"/>
    <x v="3"/>
    <s v="Late"/>
    <n v="1"/>
    <n v="39.680999999999997"/>
    <x v="0"/>
    <d v="2022-02-03T00:00:00"/>
    <n v="24.787986948042601"/>
    <d v="2022-02-19T00:00:00"/>
    <d v="2022-02-25T00:00:00"/>
    <n v="247.87986948042601"/>
    <n v="6"/>
    <s v="Late"/>
    <n v="24.787986948042601"/>
    <n v="0.43201489368651402"/>
    <n v="4.0342122258498515E-3"/>
    <n v="0.65"/>
    <n v="0"/>
    <n v="28.261324240505775"/>
  </r>
  <r>
    <x v="1"/>
    <x v="6"/>
    <x v="2"/>
    <n v="0.97"/>
    <x v="0"/>
    <s v="Late"/>
    <n v="1"/>
    <n v="838.00980000000004"/>
    <x v="5"/>
    <d v="2022-01-15T00:00:00"/>
    <n v="64.944238720595095"/>
    <d v="2022-02-02T00:00:00"/>
    <d v="2022-02-02T00:00:00"/>
    <n v="389.66543232356997"/>
    <n v="0"/>
    <s v="On Time"/>
    <n v="64.944238720594996"/>
    <n v="0.82904795739020343"/>
    <n v="2.5663041087247919E-3"/>
    <n v="0.97"/>
    <n v="0"/>
    <n v="45.757948271065814"/>
  </r>
  <r>
    <x v="2"/>
    <x v="3"/>
    <x v="2"/>
    <n v="0.77"/>
    <x v="1"/>
    <s v="Late"/>
    <n v="1"/>
    <n v="-146.7894"/>
    <x v="3"/>
    <d v="2021-01-04T00:00:00"/>
    <n v="44.180562703579398"/>
    <d v="2021-01-26T00:00:00"/>
    <d v="2021-01-31T00:00:00"/>
    <n v="441.80562703579398"/>
    <n v="5"/>
    <s v="Late"/>
    <n v="44.180562703579398"/>
    <n v="0"/>
    <n v="2.2634388038678885E-3"/>
    <n v="0.77"/>
    <n v="0"/>
    <n v="23.167903164116037"/>
  </r>
  <r>
    <x v="3"/>
    <x v="7"/>
    <x v="1"/>
    <n v="0.67"/>
    <x v="3"/>
    <s v="Late"/>
    <n v="1"/>
    <n v="478.7"/>
    <x v="1"/>
    <d v="2023-06-30T00:00:00"/>
    <n v="75.245397952022401"/>
    <d v="2023-07-12T00:00:00"/>
    <d v="2023-07-17T00:00:00"/>
    <n v="752.45397952022404"/>
    <n v="5"/>
    <s v="Late"/>
    <n v="75.245397952022401"/>
    <n v="0.61561213991769548"/>
    <n v="1.328984930929085E-3"/>
    <n v="0.67"/>
    <n v="0"/>
    <n v="32.452112346281787"/>
  </r>
  <r>
    <x v="4"/>
    <x v="5"/>
    <x v="2"/>
    <n v="0.81"/>
    <x v="2"/>
    <s v="Late"/>
    <n v="1"/>
    <n v="226.23400000000001"/>
    <x v="0"/>
    <d v="2024-01-06T00:00:00"/>
    <n v="69.125607262840603"/>
    <d v="2024-01-21T00:00:00"/>
    <d v="2024-01-22T00:00:00"/>
    <n v="691.25607262840595"/>
    <n v="1"/>
    <s v="Late"/>
    <n v="69.125607262840589"/>
    <n v="0.20091222822756682"/>
    <n v="1.4466419024684121E-3"/>
    <n v="0.81"/>
    <n v="0"/>
    <n v="28.361643821625389"/>
  </r>
  <r>
    <x v="5"/>
    <x v="4"/>
    <x v="0"/>
    <n v="0.94"/>
    <x v="0"/>
    <s v="Late"/>
    <n v="1"/>
    <n v="524.8655"/>
    <x v="1"/>
    <d v="2022-08-06T00:00:00"/>
    <n v="23.727954382872799"/>
    <d v="2022-08-18T00:00:00"/>
    <d v="2022-08-20T00:00:00"/>
    <n v="213.551589445855"/>
    <n v="2"/>
    <s v="Late"/>
    <n v="23.727954382872777"/>
    <n v="0.58359532359202126"/>
    <n v="4.6827092347797548E-3"/>
    <n v="0.94"/>
    <n v="0"/>
    <n v="40.012387748883818"/>
  </r>
  <r>
    <x v="6"/>
    <x v="3"/>
    <x v="3"/>
    <n v="0.89"/>
    <x v="2"/>
    <s v="On Time"/>
    <n v="0"/>
    <n v="69.700399999999902"/>
    <x v="6"/>
    <d v="2021-02-23T00:00:00"/>
    <n v="64.979938799469096"/>
    <d v="2021-03-09T00:00:00"/>
    <d v="2021-03-15T00:00:00"/>
    <n v="974.69908199203701"/>
    <n v="6"/>
    <s v="Late"/>
    <n v="64.979938799469139"/>
    <n v="5.6396453953732766E-2"/>
    <n v="1.0259576709113693E-3"/>
    <n v="0.89"/>
    <n v="1"/>
    <n v="47.858707809202002"/>
  </r>
  <r>
    <x v="7"/>
    <x v="4"/>
    <x v="0"/>
    <n v="0.91"/>
    <x v="3"/>
    <s v="Late"/>
    <n v="1"/>
    <n v="151.04249999999999"/>
    <x v="3"/>
    <d v="2021-02-20T00:00:00"/>
    <n v="45.233207855426301"/>
    <d v="2021-03-06T00:00:00"/>
    <d v="2021-03-06T00:00:00"/>
    <n v="271.399247132558"/>
    <n v="0"/>
    <s v="On Time"/>
    <n v="45.233207855426336"/>
    <n v="0.56350205657684871"/>
    <n v="3.6846085999331295E-3"/>
    <n v="0.91"/>
    <n v="0"/>
    <n v="38.680579389534969"/>
  </r>
  <r>
    <x v="8"/>
    <x v="5"/>
    <x v="1"/>
    <n v="0.86"/>
    <x v="2"/>
    <s v="Late"/>
    <n v="1"/>
    <n v="21.625200000000099"/>
    <x v="2"/>
    <d v="2022-03-25T00:00:00"/>
    <n v="51.294493241617303"/>
    <d v="2022-04-12T00:00:00"/>
    <d v="2022-04-09T00:00:00"/>
    <n v="461.650439174555"/>
    <n v="-3"/>
    <s v="On Time"/>
    <n v="51.294493241617225"/>
    <n v="2.2792033601839554E-2"/>
    <n v="2.1661411213818628E-3"/>
    <n v="0.86"/>
    <n v="0"/>
    <n v="26.320824905678247"/>
  </r>
  <r>
    <x v="9"/>
    <x v="7"/>
    <x v="0"/>
    <n v="0.87"/>
    <x v="2"/>
    <s v="Late"/>
    <n v="1"/>
    <n v="79.14"/>
    <x v="3"/>
    <d v="2023-02-14T00:00:00"/>
    <n v="19.994809969933002"/>
    <d v="2023-03-09T00:00:00"/>
    <d v="2023-03-13T00:00:00"/>
    <n v="199.94809969932999"/>
    <n v="4"/>
    <s v="Late"/>
    <n v="19.994809969932998"/>
    <n v="0.27667459096629843"/>
    <n v="5.0012978443092996E-3"/>
    <n v="0.87"/>
    <n v="0"/>
    <n v="31.783530754655249"/>
  </r>
  <r>
    <x v="0"/>
    <x v="2"/>
    <x v="2"/>
    <n v="0.93"/>
    <x v="3"/>
    <s v="On Time"/>
    <n v="0"/>
    <n v="142.69289999999901"/>
    <x v="0"/>
    <d v="2024-03-21T00:00:00"/>
    <n v="35.390010959707901"/>
    <d v="2024-04-13T00:00:00"/>
    <d v="2024-04-11T00:00:00"/>
    <n v="141.56004383883101"/>
    <n v="-2"/>
    <s v="On Time"/>
    <n v="35.390010959707752"/>
    <n v="0.24042899249510655"/>
    <n v="7.064140225461645E-3"/>
    <n v="0.93"/>
    <n v="1"/>
    <n v="52.920504056665976"/>
  </r>
  <r>
    <x v="1"/>
    <x v="3"/>
    <x v="1"/>
    <n v="0.7"/>
    <x v="1"/>
    <s v="Late"/>
    <n v="1"/>
    <n v="129.374"/>
    <x v="2"/>
    <d v="2022-02-21T00:00:00"/>
    <n v="23.298906168713401"/>
    <d v="2022-03-13T00:00:00"/>
    <d v="2022-03-17T00:00:00"/>
    <n v="326.18468636198799"/>
    <n v="4"/>
    <s v="Late"/>
    <n v="23.298906168713426"/>
    <n v="0.46451524878462119"/>
    <n v="3.0657478471881297E-3"/>
    <n v="0.7"/>
    <n v="0"/>
    <n v="30.382277411108067"/>
  </r>
  <r>
    <x v="2"/>
    <x v="1"/>
    <x v="3"/>
    <n v="0.79"/>
    <x v="2"/>
    <s v="On Time"/>
    <n v="0"/>
    <n v="-39.3629999999999"/>
    <x v="6"/>
    <d v="2024-01-27T00:00:00"/>
    <n v="3.5458572532155199"/>
    <d v="2024-02-17T00:00:00"/>
    <d v="2024-02-16T00:00:00"/>
    <n v="39.004429785370696"/>
    <n v="-1"/>
    <s v="On Time"/>
    <n v="3.5458572532155177"/>
    <n v="0"/>
    <n v="2.5638113555375389E-2"/>
    <n v="0.79"/>
    <n v="1"/>
    <n v="44.46914340666126"/>
  </r>
  <r>
    <x v="3"/>
    <x v="1"/>
    <x v="2"/>
    <n v="0.69"/>
    <x v="3"/>
    <s v="On Time"/>
    <n v="0"/>
    <n v="-0.71319999999999995"/>
    <x v="0"/>
    <d v="2023-12-31T00:00:00"/>
    <n v="74.781659052556506"/>
    <d v="2024-01-22T00:00:00"/>
    <d v="2024-01-25T00:00:00"/>
    <n v="972.16156768323503"/>
    <n v="3"/>
    <s v="Late"/>
    <n v="74.781659052556535"/>
    <n v="0"/>
    <n v="1.0286356026016404E-3"/>
    <n v="0.69"/>
    <n v="1"/>
    <n v="40.730859068078054"/>
  </r>
  <r>
    <x v="4"/>
    <x v="5"/>
    <x v="1"/>
    <n v="0.99"/>
    <x v="1"/>
    <s v="Late"/>
    <n v="1"/>
    <n v="141.33150000000001"/>
    <x v="4"/>
    <d v="2024-01-12T00:00:00"/>
    <n v="36.775118988209996"/>
    <d v="2024-01-26T00:00:00"/>
    <d v="2024-01-23T00:00:00"/>
    <n v="441.30142785852001"/>
    <n v="-3"/>
    <s v="On Time"/>
    <n v="36.775118988210004"/>
    <n v="0.1986607095793422"/>
    <n v="2.2660248457673179E-3"/>
    <n v="0.99"/>
    <n v="0"/>
    <n v="33.741194936959864"/>
  </r>
  <r>
    <x v="5"/>
    <x v="1"/>
    <x v="3"/>
    <n v="0.97"/>
    <x v="2"/>
    <s v="Late"/>
    <n v="1"/>
    <n v="418.0104"/>
    <x v="1"/>
    <d v="2022-11-14T00:00:00"/>
    <n v="14.742036885854301"/>
    <d v="2022-11-30T00:00:00"/>
    <d v="2022-11-28T00:00:00"/>
    <n v="147.42036885854299"/>
    <n v="-2"/>
    <s v="On Time"/>
    <n v="14.742036885854299"/>
    <n v="0.25122622996220162"/>
    <n v="6.7833231441684193E-3"/>
    <n v="0.97"/>
    <n v="0"/>
    <n v="34.328024293569086"/>
  </r>
  <r>
    <x v="6"/>
    <x v="2"/>
    <x v="2"/>
    <n v="0.62"/>
    <x v="2"/>
    <s v="On Time"/>
    <n v="0"/>
    <n v="440.29250000000002"/>
    <x v="6"/>
    <d v="2024-04-03T00:00:00"/>
    <n v="32.236986960613301"/>
    <d v="2024-04-27T00:00:00"/>
    <d v="2024-04-24T00:00:00"/>
    <n v="548.02877833042703"/>
    <n v="-3"/>
    <s v="On Time"/>
    <n v="32.236986960613358"/>
    <n v="0.73054252375796946"/>
    <n v="1.8247216926207891E-3"/>
    <n v="0.62"/>
    <n v="1"/>
    <n v="53.265592125938021"/>
  </r>
  <r>
    <x v="7"/>
    <x v="5"/>
    <x v="2"/>
    <n v="0.88"/>
    <x v="2"/>
    <s v="Late"/>
    <n v="1"/>
    <n v="907.68079999999895"/>
    <x v="1"/>
    <d v="2023-04-20T00:00:00"/>
    <n v="40.218449791930603"/>
    <d v="2023-05-07T00:00:00"/>
    <d v="2023-05-12T00:00:00"/>
    <n v="603.27674687895899"/>
    <n v="5"/>
    <s v="Late"/>
    <n v="40.218449791930603"/>
    <n v="0.66207640656100852"/>
    <n v="1.6576140306641708E-3"/>
    <n v="0.88"/>
    <n v="0"/>
    <n v="39.691256552140096"/>
  </r>
  <r>
    <x v="8"/>
    <x v="2"/>
    <x v="1"/>
    <n v="0.96"/>
    <x v="2"/>
    <s v="Late"/>
    <n v="1"/>
    <n v="669.44"/>
    <x v="5"/>
    <d v="2022-02-05T00:00:00"/>
    <n v="43.185315285176003"/>
    <d v="2022-03-01T00:00:00"/>
    <d v="2022-03-06T00:00:00"/>
    <n v="518.22378342211198"/>
    <n v="5"/>
    <s v="Late"/>
    <n v="43.185315285175996"/>
    <n v="0.39286384976525823"/>
    <n v="1.9296682861532502E-3"/>
    <n v="0.96"/>
    <n v="0"/>
    <n v="36.715167043889764"/>
  </r>
  <r>
    <x v="9"/>
    <x v="7"/>
    <x v="2"/>
    <n v="0.67"/>
    <x v="3"/>
    <s v="On Time"/>
    <n v="0"/>
    <n v="801.96799999999905"/>
    <x v="4"/>
    <d v="2021-02-25T00:00:00"/>
    <n v="18.653394606895599"/>
    <d v="2021-03-12T00:00:00"/>
    <d v="2021-03-13T00:00:00"/>
    <n v="279.80091910343498"/>
    <n v="1"/>
    <s v="Late"/>
    <n v="18.653394606895667"/>
    <n v="0.65970412487825347"/>
    <n v="3.5739696753116332E-3"/>
    <n v="0.67"/>
    <n v="1"/>
    <n v="53.40130158782442"/>
  </r>
  <r>
    <x v="2"/>
    <x v="4"/>
    <x v="2"/>
    <n v="0.82"/>
    <x v="2"/>
    <s v="On Time"/>
    <n v="0"/>
    <n v="168.684"/>
    <x v="4"/>
    <d v="2022-08-02T00:00:00"/>
    <n v="47.769589858361201"/>
    <d v="2022-08-15T00:00:00"/>
    <d v="2022-08-13T00:00:00"/>
    <n v="573.23507830033395"/>
    <n v="-2"/>
    <s v="On Time"/>
    <n v="47.769589858361165"/>
    <n v="0.28081986535349701"/>
    <n v="1.7444850077302351E-3"/>
    <n v="0.82"/>
    <n v="1"/>
    <n v="50.268731857301852"/>
  </r>
  <r>
    <x v="3"/>
    <x v="7"/>
    <x v="2"/>
    <n v="0.96"/>
    <x v="0"/>
    <s v="Late"/>
    <n v="1"/>
    <n v="533.53200000000004"/>
    <x v="6"/>
    <d v="2023-02-18T00:00:00"/>
    <n v="56.545573131423097"/>
    <d v="2023-03-05T00:00:00"/>
    <d v="2023-03-09T00:00:00"/>
    <n v="622.001304445654"/>
    <n v="4"/>
    <s v="Late"/>
    <n v="56.54557313142309"/>
    <n v="0.68258720216163116"/>
    <n v="1.6077136701364793E-3"/>
    <n v="0.96"/>
    <n v="0"/>
    <n v="42.499975453336717"/>
  </r>
  <r>
    <x v="4"/>
    <x v="7"/>
    <x v="3"/>
    <n v="0.61"/>
    <x v="3"/>
    <s v="Late"/>
    <n v="1"/>
    <n v="315.53640000000001"/>
    <x v="4"/>
    <d v="2023-12-23T00:00:00"/>
    <n v="45.883242691297198"/>
    <d v="2024-01-02T00:00:00"/>
    <d v="2023-12-30T00:00:00"/>
    <n v="458.83242691297198"/>
    <n v="-3"/>
    <s v="On Time"/>
    <n v="45.883242691297198"/>
    <n v="0.22808490632321549"/>
    <n v="2.1794449157135809E-3"/>
    <n v="0.61"/>
    <n v="0"/>
    <n v="22.927081473935718"/>
  </r>
  <r>
    <x v="5"/>
    <x v="2"/>
    <x v="0"/>
    <n v="0.87"/>
    <x v="1"/>
    <s v="Late"/>
    <n v="1"/>
    <n v="165.38200000000001"/>
    <x v="2"/>
    <d v="2022-04-29T00:00:00"/>
    <n v="10.778791460244999"/>
    <d v="2022-05-12T00:00:00"/>
    <d v="2022-05-18T00:00:00"/>
    <n v="64.672748761470203"/>
    <n v="6"/>
    <s v="Late"/>
    <n v="10.778791460245033"/>
    <n v="0.15669602589271503"/>
    <n v="1.5462463234526465E-2"/>
    <n v="0.87"/>
    <n v="0"/>
    <n v="29.697794414890094"/>
  </r>
  <r>
    <x v="6"/>
    <x v="5"/>
    <x v="1"/>
    <n v="0.72"/>
    <x v="1"/>
    <s v="On Time"/>
    <n v="0"/>
    <n v="260.01900000000001"/>
    <x v="4"/>
    <d v="2023-09-08T00:00:00"/>
    <n v="74.909394718544803"/>
    <d v="2023-09-21T00:00:00"/>
    <d v="2023-09-22T00:00:00"/>
    <n v="824.00334190399303"/>
    <n v="1"/>
    <s v="Late"/>
    <n v="74.909394718544817"/>
    <n v="0.72740929729003889"/>
    <n v="1.2135873110530574E-3"/>
    <n v="0.72"/>
    <n v="1"/>
    <n v="56.184593565132367"/>
  </r>
  <r>
    <x v="7"/>
    <x v="5"/>
    <x v="1"/>
    <n v="0.96"/>
    <x v="0"/>
    <s v="Late"/>
    <n v="1"/>
    <n v="748.53269999999998"/>
    <x v="1"/>
    <d v="2022-02-10T00:00:00"/>
    <n v="59.104152704681503"/>
    <d v="2022-03-01T00:00:00"/>
    <d v="2022-03-02T00:00:00"/>
    <n v="295.52076352340703"/>
    <n v="1"/>
    <s v="Late"/>
    <n v="59.104152704681404"/>
    <n v="0.52616019581161033"/>
    <n v="3.3838569854696319E-3"/>
    <n v="0.96"/>
    <n v="0"/>
    <n v="39.424719625796293"/>
  </r>
  <r>
    <x v="8"/>
    <x v="1"/>
    <x v="2"/>
    <n v="0.98"/>
    <x v="2"/>
    <s v="On Time"/>
    <n v="0"/>
    <n v="-11.4179999999999"/>
    <x v="1"/>
    <d v="2021-04-02T00:00:00"/>
    <n v="20.6253786760027"/>
    <d v="2021-04-25T00:00:00"/>
    <d v="2021-04-27T00:00:00"/>
    <n v="185.62840808402399"/>
    <n v="2"/>
    <s v="Late"/>
    <n v="20.625378676002665"/>
    <n v="0"/>
    <n v="5.3871064796685315E-3"/>
    <n v="0.98"/>
    <n v="1"/>
    <n v="49.561613194390056"/>
  </r>
  <r>
    <x v="9"/>
    <x v="0"/>
    <x v="2"/>
    <n v="0.97"/>
    <x v="1"/>
    <s v="Late"/>
    <n v="1"/>
    <n v="527.20519999999999"/>
    <x v="0"/>
    <d v="2022-04-02T00:00:00"/>
    <n v="50.097233014505299"/>
    <d v="2022-04-23T00:00:00"/>
    <d v="2022-04-21T00:00:00"/>
    <n v="651.264029188569"/>
    <n v="-2"/>
    <s v="On Time"/>
    <n v="50.097233014505306"/>
    <n v="0.52235502908394971"/>
    <n v="1.5354755601133575E-3"/>
    <n v="0.97"/>
    <n v="0"/>
    <n v="39.593164848482395"/>
  </r>
  <r>
    <x v="0"/>
    <x v="4"/>
    <x v="1"/>
    <n v="0.78"/>
    <x v="3"/>
    <s v="On Time"/>
    <n v="0"/>
    <n v="520.61440000000005"/>
    <x v="1"/>
    <d v="2021-02-26T00:00:00"/>
    <n v="71.138030205759193"/>
    <d v="2021-03-18T00:00:00"/>
    <d v="2021-03-15T00:00:00"/>
    <n v="1067.07045308638"/>
    <n v="-3"/>
    <s v="On Time"/>
    <n v="71.138030205758668"/>
    <n v="0.28407049205803214"/>
    <n v="9.3714524388489406E-4"/>
    <n v="0.78"/>
    <n v="1"/>
    <n v="49.109524198477189"/>
  </r>
  <r>
    <x v="1"/>
    <x v="2"/>
    <x v="2"/>
    <n v="0.94"/>
    <x v="0"/>
    <s v="Late"/>
    <n v="1"/>
    <n v="446.5224"/>
    <x v="0"/>
    <d v="2023-09-30T00:00:00"/>
    <n v="77.789928146591194"/>
    <d v="2023-10-22T00:00:00"/>
    <d v="2023-10-25T00:00:00"/>
    <n v="1011.26906590568"/>
    <n v="3"/>
    <s v="Late"/>
    <n v="77.789928146590768"/>
    <n v="0.59336758613431317"/>
    <n v="9.8885651080843893E-4"/>
    <n v="0.94"/>
    <n v="0"/>
    <n v="40.097017418010516"/>
  </r>
  <r>
    <x v="2"/>
    <x v="1"/>
    <x v="3"/>
    <n v="0.93"/>
    <x v="0"/>
    <s v="On Time"/>
    <n v="0"/>
    <n v="421.87319999999897"/>
    <x v="1"/>
    <d v="2022-04-14T00:00:00"/>
    <n v="48.777375420572298"/>
    <d v="2022-05-07T00:00:00"/>
    <d v="2022-05-06T00:00:00"/>
    <n v="292.66425252343299"/>
    <n v="-1"/>
    <s v="On Time"/>
    <n v="48.777375420572163"/>
    <n v="0.32315235345538301"/>
    <n v="3.4168846771606728E-3"/>
    <n v="0.93"/>
    <n v="1"/>
    <n v="54.465553609422493"/>
  </r>
  <r>
    <x v="3"/>
    <x v="3"/>
    <x v="1"/>
    <n v="0.72"/>
    <x v="2"/>
    <s v="Late"/>
    <n v="1"/>
    <n v="154.5164"/>
    <x v="2"/>
    <d v="2021-07-27T00:00:00"/>
    <n v="62.199404997843097"/>
    <d v="2021-08-10T00:00:00"/>
    <d v="2021-08-11T00:00:00"/>
    <n v="497.595239982745"/>
    <n v="1"/>
    <s v="Late"/>
    <n v="62.199404997843125"/>
    <n v="0.35819391139617285"/>
    <n v="2.009665526612909E-3"/>
    <n v="0.72"/>
    <n v="0"/>
    <n v="28.824168193721846"/>
  </r>
  <r>
    <x v="4"/>
    <x v="0"/>
    <x v="2"/>
    <n v="0.92"/>
    <x v="1"/>
    <s v="On Time"/>
    <n v="0"/>
    <n v="881.79199999999901"/>
    <x v="0"/>
    <d v="2023-12-30T00:00:00"/>
    <n v="7.6484093959715302"/>
    <d v="2024-01-23T00:00:00"/>
    <d v="2024-01-29T00:00:00"/>
    <n v="68.835684563743698"/>
    <n v="6"/>
    <s v="Late"/>
    <n v="7.6484093959715223"/>
    <n v="0.50939071280686132"/>
    <n v="1.4527348806620396E-2"/>
    <n v="0.92"/>
    <n v="1"/>
    <n v="58.223634720335852"/>
  </r>
  <r>
    <x v="5"/>
    <x v="0"/>
    <x v="1"/>
    <n v="0.61"/>
    <x v="2"/>
    <s v="Late"/>
    <n v="1"/>
    <n v="41.456800000000001"/>
    <x v="3"/>
    <d v="2021-05-16T00:00:00"/>
    <n v="72.5329452179556"/>
    <d v="2021-06-09T00:00:00"/>
    <d v="2021-06-13T00:00:00"/>
    <n v="580.26356174364503"/>
    <n v="4"/>
    <s v="Late"/>
    <n v="72.532945217955628"/>
    <n v="0.4821858920080766"/>
    <n v="1.7233548096576682E-3"/>
    <n v="0.61"/>
    <n v="0"/>
    <n v="27.995418484451264"/>
  </r>
  <r>
    <x v="6"/>
    <x v="2"/>
    <x v="0"/>
    <n v="0.83"/>
    <x v="3"/>
    <s v="Late"/>
    <n v="1"/>
    <n v="285.21249999999998"/>
    <x v="5"/>
    <d v="2021-04-09T00:00:00"/>
    <n v="47.8503909296956"/>
    <d v="2021-04-19T00:00:00"/>
    <d v="2021-04-25T00:00:00"/>
    <n v="382.803127437564"/>
    <n v="6"/>
    <s v="Late"/>
    <n v="47.8503909296955"/>
    <n v="0.513237510403311"/>
    <n v="2.612308856236035E-3"/>
    <n v="0.83"/>
    <n v="0"/>
    <n v="35.243119473753296"/>
  </r>
  <r>
    <x v="7"/>
    <x v="6"/>
    <x v="2"/>
    <n v="0.69"/>
    <x v="0"/>
    <s v="Late"/>
    <n v="1"/>
    <n v="320.58"/>
    <x v="6"/>
    <d v="2022-05-14T00:00:00"/>
    <n v="13.4827008102743"/>
    <d v="2022-05-24T00:00:00"/>
    <d v="2022-05-27T00:00:00"/>
    <n v="148.309708913018"/>
    <n v="3"/>
    <s v="Late"/>
    <n v="13.482700810274364"/>
    <n v="0.39830034663982999"/>
    <n v="6.7426469064576812E-3"/>
    <n v="0.69"/>
    <n v="0"/>
    <n v="28.86828633999033"/>
  </r>
  <r>
    <x v="8"/>
    <x v="4"/>
    <x v="1"/>
    <n v="0.65"/>
    <x v="1"/>
    <s v="On Time"/>
    <n v="0"/>
    <n v="210.361999999999"/>
    <x v="1"/>
    <d v="2021-02-27T00:00:00"/>
    <n v="22.040235665523099"/>
    <d v="2021-03-21T00:00:00"/>
    <d v="2021-03-18T00:00:00"/>
    <n v="176.32188532418499"/>
    <n v="-3"/>
    <s v="On Time"/>
    <n v="22.040235665523124"/>
    <n v="0.22614657891511653"/>
    <n v="5.6714457094274055E-3"/>
    <n v="0.65"/>
    <n v="1"/>
    <n v="44.193074949585153"/>
  </r>
  <r>
    <x v="9"/>
    <x v="0"/>
    <x v="2"/>
    <n v="0.63"/>
    <x v="3"/>
    <s v="Late"/>
    <n v="1"/>
    <n v="34.932000000000002"/>
    <x v="4"/>
    <d v="2022-02-16T00:00:00"/>
    <n v="29.693968914047101"/>
    <d v="2022-03-01T00:00:00"/>
    <d v="2022-03-06T00:00:00"/>
    <n v="356.32762696856503"/>
    <n v="5"/>
    <s v="Late"/>
    <n v="29.693968914047087"/>
    <n v="6.3509032201762808E-2"/>
    <n v="2.8064060272492406E-3"/>
    <n v="0.63"/>
    <n v="0"/>
    <n v="20.254372824852734"/>
  </r>
  <r>
    <x v="3"/>
    <x v="2"/>
    <x v="2"/>
    <n v="0.87"/>
    <x v="3"/>
    <s v="Late"/>
    <n v="1"/>
    <n v="311.77919999999898"/>
    <x v="1"/>
    <d v="2021-05-16T00:00:00"/>
    <n v="27.7728235860897"/>
    <d v="2021-06-03T00:00:00"/>
    <d v="2021-06-09T00:00:00"/>
    <n v="305.50105944698703"/>
    <n v="6"/>
    <s v="Late"/>
    <n v="27.772823586089729"/>
    <n v="0.33046389287422179"/>
    <n v="3.2733110707052326E-3"/>
    <n v="0.87"/>
    <n v="0"/>
    <n v="32.807477189605592"/>
  </r>
  <r>
    <x v="4"/>
    <x v="2"/>
    <x v="2"/>
    <n v="0.73"/>
    <x v="3"/>
    <s v="On Time"/>
    <n v="0"/>
    <n v="159.1576"/>
    <x v="4"/>
    <d v="2021-09-28T00:00:00"/>
    <n v="62.854618568833899"/>
    <d v="2021-10-22T00:00:00"/>
    <d v="2021-10-28T00:00:00"/>
    <n v="691.40080425717304"/>
    <n v="6"/>
    <s v="Late"/>
    <n v="62.854618568833914"/>
    <n v="0.30004961940857888"/>
    <n v="1.4463390754576569E-3"/>
    <n v="0.73"/>
    <n v="1"/>
    <n v="47.944382560435308"/>
  </r>
  <r>
    <x v="5"/>
    <x v="1"/>
    <x v="1"/>
    <n v="0.88"/>
    <x v="0"/>
    <s v="Late"/>
    <n v="1"/>
    <n v="29.925199999999901"/>
    <x v="5"/>
    <d v="2022-12-01T00:00:00"/>
    <n v="35.779826263020297"/>
    <d v="2022-12-15T00:00:00"/>
    <d v="2022-12-21T00:00:00"/>
    <n v="393.57808889322399"/>
    <n v="6"/>
    <s v="Late"/>
    <n v="35.779826263020361"/>
    <n v="0.47617320018076004"/>
    <n v="2.5407918484793893E-3"/>
    <n v="0.88"/>
    <n v="0"/>
    <n v="35.99968775906958"/>
  </r>
  <r>
    <x v="6"/>
    <x v="3"/>
    <x v="0"/>
    <n v="0.63"/>
    <x v="3"/>
    <s v="Late"/>
    <n v="1"/>
    <n v="507.097499999999"/>
    <x v="5"/>
    <d v="2022-10-31T00:00:00"/>
    <n v="44.741437635801297"/>
    <d v="2022-11-14T00:00:00"/>
    <d v="2022-11-17T00:00:00"/>
    <n v="536.89725162961497"/>
    <n v="3"/>
    <s v="Late"/>
    <n v="44.741437635801248"/>
    <n v="0.39490576066069977"/>
    <n v="1.8625537697664768E-3"/>
    <n v="0.63"/>
    <n v="0"/>
    <n v="26.853991826306988"/>
  </r>
  <r>
    <x v="7"/>
    <x v="6"/>
    <x v="2"/>
    <n v="0.72"/>
    <x v="0"/>
    <s v="On Time"/>
    <n v="0"/>
    <n v="123.9735"/>
    <x v="5"/>
    <d v="2024-04-09T00:00:00"/>
    <n v="20.6381570823484"/>
    <d v="2024-04-21T00:00:00"/>
    <d v="2024-04-27T00:00:00"/>
    <n v="185.74341374113601"/>
    <n v="6"/>
    <s v="Late"/>
    <n v="20.638157082348446"/>
    <n v="0.19109197727677343"/>
    <n v="5.3837709766315833E-3"/>
    <n v="0.72"/>
    <n v="1"/>
    <n v="45.583352674834416"/>
  </r>
  <r>
    <x v="8"/>
    <x v="4"/>
    <x v="1"/>
    <n v="0.81"/>
    <x v="3"/>
    <s v="Late"/>
    <n v="1"/>
    <n v="299.60039999999998"/>
    <x v="4"/>
    <d v="2024-01-13T00:00:00"/>
    <n v="22.445654546326299"/>
    <d v="2024-01-30T00:00:00"/>
    <d v="2024-02-05T00:00:00"/>
    <n v="224.45654546326301"/>
    <n v="6"/>
    <s v="Late"/>
    <n v="22.445654546326303"/>
    <n v="0.59651600078367284"/>
    <n v="4.4552053402411064E-3"/>
    <n v="0.81"/>
    <n v="0"/>
    <n v="36.363976175880687"/>
  </r>
  <r>
    <x v="9"/>
    <x v="5"/>
    <x v="2"/>
    <n v="0.91"/>
    <x v="3"/>
    <s v="On Time"/>
    <n v="0"/>
    <n v="184.539999999999"/>
    <x v="1"/>
    <d v="2022-06-08T00:00:00"/>
    <n v="19.1710681452033"/>
    <d v="2022-07-02T00:00:00"/>
    <d v="2022-07-03T00:00:00"/>
    <n v="210.88174959723699"/>
    <n v="1"/>
    <s v="Late"/>
    <n v="19.171068145203364"/>
    <n v="0.25957183447266891"/>
    <n v="4.7419940412572435E-3"/>
    <n v="0.91"/>
    <n v="1"/>
    <n v="52.633696510691095"/>
  </r>
  <r>
    <x v="0"/>
    <x v="7"/>
    <x v="3"/>
    <n v="0.72"/>
    <x v="2"/>
    <s v="Late"/>
    <n v="1"/>
    <n v="250.712999999999"/>
    <x v="5"/>
    <d v="2023-10-03T00:00:00"/>
    <n v="31.595080613800299"/>
    <d v="2023-10-22T00:00:00"/>
    <d v="2023-10-21T00:00:00"/>
    <n v="252.76064491040199"/>
    <n v="-1"/>
    <s v="On Time"/>
    <n v="31.595080613800249"/>
    <n v="0.21791409571208584"/>
    <n v="3.9563121084553237E-3"/>
    <n v="0.72"/>
    <n v="0"/>
    <n v="26.076971277495375"/>
  </r>
  <r>
    <x v="1"/>
    <x v="3"/>
    <x v="2"/>
    <n v="0.84"/>
    <x v="0"/>
    <s v="Late"/>
    <n v="1"/>
    <n v="42.4816"/>
    <x v="2"/>
    <d v="2023-08-09T00:00:00"/>
    <n v="63.624308833011703"/>
    <d v="2023-08-30T00:00:00"/>
    <d v="2023-09-02T00:00:00"/>
    <n v="572.61877949710504"/>
    <n v="3"/>
    <s v="Late"/>
    <n v="63.624308833011668"/>
    <n v="5.6302695641847762E-2"/>
    <n v="1.7463625640748927E-3"/>
    <n v="0.84"/>
    <n v="0"/>
    <n v="26.378444789759204"/>
  </r>
  <r>
    <x v="2"/>
    <x v="3"/>
    <x v="3"/>
    <n v="0.95"/>
    <x v="1"/>
    <s v="On Time"/>
    <n v="0"/>
    <n v="273.27"/>
    <x v="0"/>
    <d v="2024-03-09T00:00:00"/>
    <n v="51.114958986810102"/>
    <d v="2024-04-02T00:00:00"/>
    <d v="2024-04-01T00:00:00"/>
    <n v="562.26454885491103"/>
    <n v="-1"/>
    <s v="On Time"/>
    <n v="51.114958986810095"/>
    <n v="0.58828468096099196"/>
    <n v="1.7785222312816382E-3"/>
    <n v="0.95"/>
    <n v="1"/>
    <n v="60.31904928615829"/>
  </r>
  <r>
    <x v="3"/>
    <x v="1"/>
    <x v="1"/>
    <n v="0.84"/>
    <x v="3"/>
    <s v="On Time"/>
    <n v="0"/>
    <n v="881.79199999999901"/>
    <x v="4"/>
    <d v="2024-02-15T00:00:00"/>
    <n v="17.668394031706001"/>
    <d v="2024-03-01T00:00:00"/>
    <d v="2024-03-06T00:00:00"/>
    <n v="212.02072838047201"/>
    <n v="5"/>
    <s v="Late"/>
    <n v="17.668394031706001"/>
    <n v="0.50939071280686132"/>
    <n v="4.7165199725448361E-3"/>
    <n v="0.84"/>
    <n v="1"/>
    <n v="55.529309855313571"/>
  </r>
  <r>
    <x v="4"/>
    <x v="5"/>
    <x v="0"/>
    <n v="0.69"/>
    <x v="3"/>
    <s v="Late"/>
    <n v="1"/>
    <n v="579.878999999999"/>
    <x v="4"/>
    <d v="2022-03-28T00:00:00"/>
    <n v="71.874861080467994"/>
    <d v="2022-04-16T00:00:00"/>
    <d v="2022-04-13T00:00:00"/>
    <n v="790.62347188514798"/>
    <n v="-3"/>
    <s v="On Time"/>
    <n v="71.874861080467994"/>
    <n v="0.6493031411554846"/>
    <n v="1.2648245790320624E-3"/>
    <n v="0.69"/>
    <n v="0"/>
    <n v="33.724007560480651"/>
  </r>
  <r>
    <x v="5"/>
    <x v="0"/>
    <x v="2"/>
    <n v="0.61"/>
    <x v="2"/>
    <s v="Late"/>
    <n v="1"/>
    <n v="-106.35"/>
    <x v="1"/>
    <d v="2021-04-24T00:00:00"/>
    <n v="55.693808085605298"/>
    <d v="2021-05-07T00:00:00"/>
    <d v="2021-05-07T00:00:00"/>
    <n v="668.32569702726403"/>
    <n v="0"/>
    <s v="On Time"/>
    <n v="55.693808085605333"/>
    <n v="0"/>
    <n v="1.4962764479175869E-3"/>
    <n v="0.61"/>
    <n v="0"/>
    <n v="18.344888293437528"/>
  </r>
  <r>
    <x v="6"/>
    <x v="0"/>
    <x v="2"/>
    <n v="0.94"/>
    <x v="3"/>
    <s v="Late"/>
    <n v="1"/>
    <n v="208.47049999999999"/>
    <x v="4"/>
    <d v="2021-06-23T00:00:00"/>
    <n v="78.018921746118494"/>
    <d v="2021-07-16T00:00:00"/>
    <d v="2021-07-17T00:00:00"/>
    <n v="546.13245222282899"/>
    <n v="1"/>
    <s v="Late"/>
    <n v="78.018921746118423"/>
    <n v="0.39325115704825597"/>
    <n v="1.8310576416579385E-3"/>
    <n v="0.94"/>
    <n v="0"/>
    <n v="36.119954870214862"/>
  </r>
  <r>
    <x v="7"/>
    <x v="1"/>
    <x v="2"/>
    <n v="0.61"/>
    <x v="0"/>
    <s v="On Time"/>
    <n v="0"/>
    <n v="67.343199999999996"/>
    <x v="4"/>
    <d v="2021-05-19T00:00:00"/>
    <n v="41.474784112719099"/>
    <d v="2021-06-10T00:00:00"/>
    <d v="2021-06-14T00:00:00"/>
    <n v="373.27305701447199"/>
    <n v="4"/>
    <s v="Late"/>
    <n v="41.474784112719107"/>
    <n v="9.428873214983774E-2"/>
    <n v="2.6790039656176671E-3"/>
    <n v="0.61"/>
    <n v="1"/>
    <n v="40.266144761965286"/>
  </r>
  <r>
    <x v="8"/>
    <x v="2"/>
    <x v="1"/>
    <n v="0.94"/>
    <x v="3"/>
    <s v="Late"/>
    <n v="1"/>
    <n v="534.71249999999895"/>
    <x v="5"/>
    <d v="2023-11-25T00:00:00"/>
    <n v="64.491908462772301"/>
    <d v="2023-12-12T00:00:00"/>
    <d v="2023-12-16T00:00:00"/>
    <n v="773.90290155326795"/>
    <n v="4"/>
    <s v="Late"/>
    <n v="64.491908462772329"/>
    <n v="0.40764458675205351"/>
    <n v="1.2921517647665386E-3"/>
    <n v="0.94"/>
    <n v="0"/>
    <n v="36.391656287984063"/>
  </r>
  <r>
    <x v="9"/>
    <x v="0"/>
    <x v="2"/>
    <n v="0.81"/>
    <x v="2"/>
    <s v="Late"/>
    <n v="1"/>
    <n v="-6.4970999999999801"/>
    <x v="1"/>
    <d v="2023-12-29T00:00:00"/>
    <n v="68.515331633258398"/>
    <d v="2024-01-20T00:00:00"/>
    <d v="2024-01-17T00:00:00"/>
    <n v="890.69931123235995"/>
    <n v="-3"/>
    <s v="On Time"/>
    <n v="68.515331633258455"/>
    <n v="0"/>
    <n v="1.1227133415163564E-3"/>
    <n v="0.81"/>
    <n v="0"/>
    <n v="24.333681400245492"/>
  </r>
  <r>
    <x v="5"/>
    <x v="6"/>
    <x v="2"/>
    <n v="0.97"/>
    <x v="3"/>
    <s v="Late"/>
    <n v="1"/>
    <n v="-33.299100000000003"/>
    <x v="5"/>
    <d v="2023-08-08T00:00:00"/>
    <n v="30.736880873671598"/>
    <d v="2023-08-29T00:00:00"/>
    <d v="2023-08-30T00:00:00"/>
    <n v="215.15816611570099"/>
    <n v="1"/>
    <s v="Late"/>
    <n v="30.73688087367157"/>
    <n v="0"/>
    <n v="4.6477436485596896E-3"/>
    <n v="0.97"/>
    <n v="0"/>
    <n v="29.239432309456788"/>
  </r>
  <r>
    <x v="6"/>
    <x v="4"/>
    <x v="1"/>
    <n v="0.91"/>
    <x v="2"/>
    <s v="Late"/>
    <n v="1"/>
    <n v="392.77199999999903"/>
    <x v="0"/>
    <d v="2021-11-23T00:00:00"/>
    <n v="26.933945571837501"/>
    <d v="2021-12-12T00:00:00"/>
    <d v="2021-12-12T00:00:00"/>
    <n v="215.47156457470001"/>
    <n v="0"/>
    <s v="On Time"/>
    <n v="26.933945571837501"/>
    <n v="0.78065398344768333"/>
    <n v="4.6409836117995906E-3"/>
    <n v="0.91"/>
    <n v="0"/>
    <n v="43.052309177307656"/>
  </r>
  <r>
    <x v="7"/>
    <x v="3"/>
    <x v="2"/>
    <n v="0.99"/>
    <x v="1"/>
    <s v="Late"/>
    <n v="1"/>
    <n v="7.1142000000000101"/>
    <x v="0"/>
    <d v="2022-10-22T00:00:00"/>
    <n v="59.475164980699702"/>
    <d v="2022-11-10T00:00:00"/>
    <d v="2022-11-15T00:00:00"/>
    <n v="773.17714474909599"/>
    <n v="5"/>
    <s v="Late"/>
    <n v="59.475164980699688"/>
    <n v="3.2395555276265253E-2"/>
    <n v="1.2933646665467722E-3"/>
    <n v="0.99"/>
    <n v="0"/>
    <n v="30.386712045521708"/>
  </r>
  <r>
    <x v="8"/>
    <x v="0"/>
    <x v="0"/>
    <n v="0.75"/>
    <x v="0"/>
    <s v="Late"/>
    <n v="1"/>
    <n v="251.159999999999"/>
    <x v="5"/>
    <d v="2021-05-31T00:00:00"/>
    <n v="17.431436629510699"/>
    <d v="2021-06-18T00:00:00"/>
    <d v="2021-06-23T00:00:00"/>
    <n v="296.334422701682"/>
    <n v="5"/>
    <s v="Late"/>
    <n v="17.431436629510706"/>
    <n v="0.44598337950138328"/>
    <n v="3.3745657722886067E-3"/>
    <n v="0.75"/>
    <n v="0"/>
    <n v="31.520904563196321"/>
  </r>
  <r>
    <x v="9"/>
    <x v="1"/>
    <x v="1"/>
    <n v="0.8"/>
    <x v="1"/>
    <s v="Late"/>
    <n v="1"/>
    <n v="328.59050000000002"/>
    <x v="0"/>
    <d v="2022-09-18T00:00:00"/>
    <n v="17.772909242948099"/>
    <d v="2022-10-11T00:00:00"/>
    <d v="2022-10-10T00:00:00"/>
    <n v="319.91236637306702"/>
    <n v="-1"/>
    <s v="On Time"/>
    <n v="17.772909242948167"/>
    <n v="0.21157066139634881"/>
    <n v="3.1258560315666141E-3"/>
    <n v="0.8"/>
    <n v="0"/>
    <n v="28.325188908873972"/>
  </r>
  <r>
    <x v="0"/>
    <x v="2"/>
    <x v="2"/>
    <n v="0.62"/>
    <x v="2"/>
    <s v="Late"/>
    <n v="1"/>
    <n v="178.83670000000001"/>
    <x v="1"/>
    <d v="2022-09-19T00:00:00"/>
    <n v="60.360526088517901"/>
    <d v="2022-09-30T00:00:00"/>
    <d v="2022-10-02T00:00:00"/>
    <n v="784.68683915073302"/>
    <n v="2"/>
    <s v="Late"/>
    <n v="60.360526088517922"/>
    <n v="0.26431411335418348"/>
    <n v="1.2743937455129239E-3"/>
    <n v="0.62"/>
    <n v="0"/>
    <n v="23.924514079449057"/>
  </r>
  <r>
    <x v="1"/>
    <x v="0"/>
    <x v="2"/>
    <n v="0.66"/>
    <x v="3"/>
    <s v="Late"/>
    <n v="1"/>
    <n v="183.6576"/>
    <x v="6"/>
    <d v="2023-08-11T00:00:00"/>
    <n v="74.134114140601298"/>
    <d v="2023-08-28T00:00:00"/>
    <d v="2023-08-28T00:00:00"/>
    <n v="518.93879898420903"/>
    <n v="0"/>
    <s v="On Time"/>
    <n v="74.134114140601284"/>
    <n v="0.70270617728353801"/>
    <n v="1.9270095085536848E-3"/>
    <n v="0.66"/>
    <n v="0"/>
    <n v="33.911933830927374"/>
  </r>
  <r>
    <x v="2"/>
    <x v="3"/>
    <x v="2"/>
    <n v="0.89"/>
    <x v="1"/>
    <s v="On Time"/>
    <n v="0"/>
    <n v="608.03579999999897"/>
    <x v="5"/>
    <d v="2022-05-17T00:00:00"/>
    <n v="49.269889183522402"/>
    <d v="2022-06-05T00:00:00"/>
    <d v="2022-06-06T00:00:00"/>
    <n v="591.23867020226896"/>
    <n v="1"/>
    <s v="Late"/>
    <n v="49.269889183522416"/>
    <n v="0.57500966016092792"/>
    <n v="1.691364334572178E-3"/>
    <n v="0.89"/>
    <n v="1"/>
    <n v="58.250934133255726"/>
  </r>
  <r>
    <x v="3"/>
    <x v="0"/>
    <x v="3"/>
    <n v="0.63"/>
    <x v="1"/>
    <s v="Late"/>
    <n v="1"/>
    <n v="-0.499799999999964"/>
    <x v="2"/>
    <d v="2021-06-03T00:00:00"/>
    <n v="73.147076499188898"/>
    <d v="2021-06-18T00:00:00"/>
    <d v="2021-06-23T00:00:00"/>
    <n v="1024.0590709886401"/>
    <n v="5"/>
    <s v="Late"/>
    <n v="73.147076499188572"/>
    <n v="0"/>
    <n v="9.7650616876484176E-4"/>
    <n v="0.63"/>
    <n v="0"/>
    <n v="18.929295185062944"/>
  </r>
  <r>
    <x v="4"/>
    <x v="1"/>
    <x v="3"/>
    <n v="0.84"/>
    <x v="0"/>
    <s v="Late"/>
    <n v="1"/>
    <n v="410.49999999999898"/>
    <x v="2"/>
    <d v="2021-01-16T00:00:00"/>
    <n v="43.037964812132302"/>
    <d v="2021-02-05T00:00:00"/>
    <d v="2021-02-06T00:00:00"/>
    <n v="473.41761293345502"/>
    <n v="1"/>
    <s v="Late"/>
    <n v="43.037964812132273"/>
    <n v="0.44702167047805619"/>
    <n v="2.1122999497286614E-3"/>
    <n v="0.84"/>
    <n v="0"/>
    <n v="34.203802408052987"/>
  </r>
  <r>
    <x v="5"/>
    <x v="0"/>
    <x v="2"/>
    <n v="0.7"/>
    <x v="0"/>
    <s v="Late"/>
    <n v="1"/>
    <n v="378.74399999999901"/>
    <x v="4"/>
    <d v="2023-07-17T00:00:00"/>
    <n v="57.9220821285477"/>
    <d v="2023-08-09T00:00:00"/>
    <d v="2023-08-06T00:00:00"/>
    <n v="289.61041064273797"/>
    <n v="-3"/>
    <s v="On Time"/>
    <n v="57.922082128547594"/>
    <n v="0.35118835677407778"/>
    <n v="3.4529145474455863E-3"/>
    <n v="0.7"/>
    <n v="0"/>
    <n v="28.127354571904924"/>
  </r>
  <r>
    <x v="6"/>
    <x v="1"/>
    <x v="2"/>
    <n v="0.75"/>
    <x v="2"/>
    <s v="Late"/>
    <n v="1"/>
    <n v="897.14399999999898"/>
    <x v="0"/>
    <d v="2021-11-09T00:00:00"/>
    <n v="18.180515953544099"/>
    <d v="2021-11-19T00:00:00"/>
    <d v="2021-11-22T00:00:00"/>
    <n v="181.80515953544099"/>
    <n v="3"/>
    <s v="Late"/>
    <n v="18.180515953544099"/>
    <n v="0.64387832437646797"/>
    <n v="5.5003939522687778E-3"/>
    <n v="0.75"/>
    <n v="0"/>
    <n v="35.542578306097425"/>
  </r>
  <r>
    <x v="7"/>
    <x v="4"/>
    <x v="2"/>
    <n v="0.71"/>
    <x v="2"/>
    <s v="On Time"/>
    <n v="0"/>
    <n v="250.34099999999901"/>
    <x v="2"/>
    <d v="2023-08-25T00:00:00"/>
    <n v="33.287375245548603"/>
    <d v="2023-09-06T00:00:00"/>
    <d v="2023-09-11T00:00:00"/>
    <n v="332.873752455486"/>
    <n v="5"/>
    <s v="Late"/>
    <n v="33.287375245548603"/>
    <n v="0.34909658337412114"/>
    <n v="3.0041419385679149E-3"/>
    <n v="0.71"/>
    <n v="1"/>
    <n v="48.372055925639465"/>
  </r>
  <r>
    <x v="8"/>
    <x v="5"/>
    <x v="3"/>
    <n v="0.74"/>
    <x v="0"/>
    <s v="Late"/>
    <n v="1"/>
    <n v="356.515999999999"/>
    <x v="4"/>
    <d v="2023-07-29T00:00:00"/>
    <n v="7.2021294620463197"/>
    <d v="2023-08-12T00:00:00"/>
    <d v="2023-08-15T00:00:00"/>
    <n v="79.223424082509496"/>
    <n v="3"/>
    <s v="Late"/>
    <n v="7.2021294620463179"/>
    <n v="0.63064905291907469"/>
    <n v="1.2622529404416065E-2"/>
    <n v="0.74"/>
    <n v="0"/>
    <n v="35.19165694051398"/>
  </r>
  <r>
    <x v="9"/>
    <x v="1"/>
    <x v="3"/>
    <n v="0.88"/>
    <x v="2"/>
    <s v="On Time"/>
    <n v="0"/>
    <n v="396.387"/>
    <x v="6"/>
    <d v="2022-03-20T00:00:00"/>
    <n v="57.721982667548701"/>
    <d v="2022-04-09T00:00:00"/>
    <d v="2022-04-09T00:00:00"/>
    <n v="692.66379201058396"/>
    <n v="0"/>
    <s v="On Time"/>
    <n v="57.721982667548666"/>
    <n v="0.25437355249706889"/>
    <n v="1.4437018529542538E-3"/>
    <n v="0.88"/>
    <n v="1"/>
    <n v="51.530782105530015"/>
  </r>
  <r>
    <x v="3"/>
    <x v="1"/>
    <x v="2"/>
    <n v="0.72"/>
    <x v="0"/>
    <s v="Late"/>
    <n v="1"/>
    <n v="454.65919999999898"/>
    <x v="1"/>
    <d v="2022-01-02T00:00:00"/>
    <n v="45.791030946624801"/>
    <d v="2022-01-20T00:00:00"/>
    <d v="2022-01-23T00:00:00"/>
    <n v="457.91030946624801"/>
    <n v="3"/>
    <s v="Late"/>
    <n v="45.791030946624801"/>
    <n v="0.25353226053967959"/>
    <n v="2.183833775582877E-3"/>
    <n v="0.72"/>
    <n v="0"/>
    <n v="26.736160224061077"/>
  </r>
  <r>
    <x v="4"/>
    <x v="6"/>
    <x v="0"/>
    <n v="0.82"/>
    <x v="0"/>
    <s v="Late"/>
    <n v="1"/>
    <n v="653.779"/>
    <x v="1"/>
    <d v="2023-09-11T00:00:00"/>
    <n v="10.7201689641456"/>
    <d v="2023-10-02T00:00:00"/>
    <d v="2023-10-05T00:00:00"/>
    <n v="160.80253446218501"/>
    <n v="3"/>
    <s v="Late"/>
    <n v="10.720168964145667"/>
    <n v="0.69773713739288945"/>
    <n v="6.2188074544009386E-3"/>
    <n v="0.82"/>
    <n v="0"/>
    <n v="38.741306971489813"/>
  </r>
  <r>
    <x v="5"/>
    <x v="1"/>
    <x v="1"/>
    <n v="0.79"/>
    <x v="1"/>
    <s v="Late"/>
    <n v="1"/>
    <n v="768.31999999999903"/>
    <x v="1"/>
    <d v="2021-12-08T00:00:00"/>
    <n v="51.163490195163099"/>
    <d v="2021-12-18T00:00:00"/>
    <d v="2021-12-23T00:00:00"/>
    <n v="562.79839214679396"/>
    <n v="5"/>
    <s v="Late"/>
    <n v="51.163490195163085"/>
    <n v="0.40293685756240982"/>
    <n v="1.7768352112476741E-3"/>
    <n v="0.79"/>
    <n v="0"/>
    <n v="31.812042207585623"/>
  </r>
  <r>
    <x v="6"/>
    <x v="1"/>
    <x v="3"/>
    <n v="0.86"/>
    <x v="3"/>
    <s v="Late"/>
    <n v="1"/>
    <n v="154.07339999999999"/>
    <x v="2"/>
    <d v="2024-01-06T00:00:00"/>
    <n v="76.205508958703902"/>
    <d v="2024-01-30T00:00:00"/>
    <d v="2024-01-28T00:00:00"/>
    <n v="914.466107504447"/>
    <n v="-2"/>
    <s v="On Time"/>
    <n v="76.205508958703916"/>
    <n v="0.65564990335898787"/>
    <n v="1.0935342401359987E-3"/>
    <n v="0.86"/>
    <n v="0"/>
    <n v="38.945804094383838"/>
  </r>
  <r>
    <x v="7"/>
    <x v="2"/>
    <x v="3"/>
    <n v="0.97"/>
    <x v="3"/>
    <s v="Late"/>
    <n v="1"/>
    <n v="253.69399999999899"/>
    <x v="6"/>
    <d v="2022-11-15T00:00:00"/>
    <n v="46.223930340913697"/>
    <d v="2022-12-09T00:00:00"/>
    <d v="2022-12-15T00:00:00"/>
    <n v="369.791442727309"/>
    <n v="6"/>
    <s v="Late"/>
    <n v="46.223930340913626"/>
    <n v="0.238817125955716"/>
    <n v="2.7042269897451857E-3"/>
    <n v="0.97"/>
    <n v="0"/>
    <n v="33.957469328806674"/>
  </r>
  <r>
    <x v="8"/>
    <x v="5"/>
    <x v="0"/>
    <n v="0.89"/>
    <x v="3"/>
    <s v="Late"/>
    <n v="1"/>
    <n v="124.21019999999901"/>
    <x v="2"/>
    <d v="2022-06-19T00:00:00"/>
    <n v="76.062379012932993"/>
    <d v="2022-07-09T00:00:00"/>
    <d v="2022-07-06T00:00:00"/>
    <n v="912.74854815519598"/>
    <n v="-3"/>
    <s v="On Time"/>
    <n v="76.062379012932993"/>
    <n v="0.22472121118042584"/>
    <n v="1.0955919919249967E-3"/>
    <n v="0.89"/>
    <n v="0"/>
    <n v="31.227291983366268"/>
  </r>
  <r>
    <x v="9"/>
    <x v="4"/>
    <x v="0"/>
    <n v="0.68"/>
    <x v="3"/>
    <s v="Late"/>
    <n v="1"/>
    <n v="90.562499999999801"/>
    <x v="0"/>
    <d v="2021-02-25T00:00:00"/>
    <n v="32.625907205720303"/>
    <d v="2021-03-07T00:00:00"/>
    <d v="2021-03-05T00:00:00"/>
    <n v="293.633164851483"/>
    <n v="-2"/>
    <s v="On Time"/>
    <n v="32.625907205720331"/>
    <n v="8.9275812354442291E-2"/>
    <n v="3.4056098550917808E-3"/>
    <n v="0.68"/>
    <n v="0"/>
    <n v="22.287684542741601"/>
  </r>
  <r>
    <x v="0"/>
    <x v="3"/>
    <x v="2"/>
    <n v="0.61"/>
    <x v="1"/>
    <s v="Late"/>
    <n v="1"/>
    <n v="-88.474000000000103"/>
    <x v="2"/>
    <d v="2022-10-08T00:00:00"/>
    <n v="57.095886173998203"/>
    <d v="2022-10-30T00:00:00"/>
    <d v="2022-11-01T00:00:00"/>
    <n v="513.86297556598299"/>
    <n v="2"/>
    <s v="Late"/>
    <n v="57.09588617399811"/>
    <n v="0"/>
    <n v="1.9460440770198947E-3"/>
    <n v="0.61"/>
    <n v="0"/>
    <n v="18.358381322310596"/>
  </r>
  <r>
    <x v="1"/>
    <x v="6"/>
    <x v="2"/>
    <n v="0.7"/>
    <x v="2"/>
    <s v="On Time"/>
    <n v="0"/>
    <n v="285.91799999999898"/>
    <x v="6"/>
    <d v="2023-03-12T00:00:00"/>
    <n v="24.539762220969301"/>
    <d v="2023-03-29T00:00:00"/>
    <d v="2023-03-30T00:00:00"/>
    <n v="196.31809776775401"/>
    <n v="1"/>
    <s v="Late"/>
    <n v="24.539762220969251"/>
    <n v="0.66361686720142521"/>
    <n v="5.0937738872297378E-3"/>
    <n v="0.7"/>
    <n v="1"/>
    <n v="54.425150560645399"/>
  </r>
  <r>
    <x v="2"/>
    <x v="2"/>
    <x v="1"/>
    <n v="0.83"/>
    <x v="1"/>
    <s v="On Time"/>
    <n v="0"/>
    <n v="339.00119999999902"/>
    <x v="6"/>
    <d v="2023-10-26T00:00:00"/>
    <n v="14.399388856702799"/>
    <d v="2023-11-19T00:00:00"/>
    <d v="2023-11-23T00:00:00"/>
    <n v="86.396333140217095"/>
    <n v="4"/>
    <s v="Late"/>
    <n v="14.399388856702849"/>
    <n v="0.265695494290623"/>
    <n v="1.1574565304490967E-2"/>
    <n v="0.83"/>
    <n v="1"/>
    <n v="50.561146844947189"/>
  </r>
  <r>
    <x v="3"/>
    <x v="7"/>
    <x v="1"/>
    <n v="0.62"/>
    <x v="3"/>
    <s v="Late"/>
    <n v="1"/>
    <n v="261.11799999999897"/>
    <x v="0"/>
    <d v="2022-07-03T00:00:00"/>
    <n v="76.638958954565695"/>
    <d v="2022-07-19T00:00:00"/>
    <d v="2022-07-24T00:00:00"/>
    <n v="919.66750745478896"/>
    <n v="5"/>
    <s v="Late"/>
    <n v="76.638958954565751"/>
    <n v="0.26875936630271785"/>
    <n v="1.0873494952186949E-3"/>
    <n v="0.62"/>
    <n v="0"/>
    <n v="24.007807810910915"/>
  </r>
  <r>
    <x v="4"/>
    <x v="5"/>
    <x v="2"/>
    <n v="0.79"/>
    <x v="3"/>
    <s v="Late"/>
    <n v="1"/>
    <n v="37.379999999999903"/>
    <x v="6"/>
    <d v="2021-05-29T00:00:00"/>
    <n v="26.4713172899977"/>
    <d v="2021-06-09T00:00:00"/>
    <d v="2021-06-10T00:00:00"/>
    <n v="317.65580747997302"/>
    <n v="1"/>
    <s v="Late"/>
    <n v="26.471317289997753"/>
    <n v="0.15127478753541038"/>
    <n v="3.1480614440302533E-3"/>
    <n v="0.79"/>
    <n v="0"/>
    <n v="26.819937594029113"/>
  </r>
  <r>
    <x v="5"/>
    <x v="4"/>
    <x v="2"/>
    <n v="0.83"/>
    <x v="3"/>
    <s v="Late"/>
    <n v="1"/>
    <n v="47.245199999999997"/>
    <x v="6"/>
    <d v="2023-02-18T00:00:00"/>
    <n v="9.4627824025546499"/>
    <d v="2023-03-05T00:00:00"/>
    <d v="2023-03-03T00:00:00"/>
    <n v="132.47895363576501"/>
    <n v="-2"/>
    <s v="On Time"/>
    <n v="9.4627824025546428"/>
    <n v="0.47523115177558362"/>
    <n v="7.5483687978800014E-3"/>
    <n v="0.83"/>
    <n v="0"/>
    <n v="34.631074099448064"/>
  </r>
  <r>
    <x v="6"/>
    <x v="4"/>
    <x v="3"/>
    <n v="0.73"/>
    <x v="0"/>
    <s v="Late"/>
    <n v="1"/>
    <n v="442.36700000000002"/>
    <x v="1"/>
    <d v="2024-03-29T00:00:00"/>
    <n v="10.9125590727668"/>
    <d v="2024-04-09T00:00:00"/>
    <d v="2024-04-13T00:00:00"/>
    <n v="109.125590727668"/>
    <n v="4"/>
    <s v="Late"/>
    <n v="10.9125590727668"/>
    <n v="0.42333107169891487"/>
    <n v="9.1637533719802107E-3"/>
    <n v="0.73"/>
    <n v="0"/>
    <n v="30.641534035137703"/>
  </r>
  <r>
    <x v="7"/>
    <x v="7"/>
    <x v="2"/>
    <n v="0.9"/>
    <x v="2"/>
    <s v="Late"/>
    <n v="1"/>
    <n v="195.26400000000001"/>
    <x v="0"/>
    <d v="2021-08-26T00:00:00"/>
    <n v="27.607216555427701"/>
    <d v="2021-09-08T00:00:00"/>
    <d v="2021-09-13T00:00:00"/>
    <n v="165.64329933256599"/>
    <n v="5"/>
    <s v="Late"/>
    <n v="27.607216555427666"/>
    <n v="0.25697230030637064"/>
    <n v="6.0370688342320216E-3"/>
    <n v="0.9"/>
    <n v="0"/>
    <n v="32.320558071154373"/>
  </r>
  <r>
    <x v="8"/>
    <x v="3"/>
    <x v="3"/>
    <n v="0.64"/>
    <x v="0"/>
    <s v="Late"/>
    <n v="1"/>
    <n v="-34.342199999999899"/>
    <x v="3"/>
    <d v="2022-02-18T00:00:00"/>
    <n v="31.738197188830299"/>
    <d v="2022-03-02T00:00:00"/>
    <d v="2022-03-07T00:00:00"/>
    <n v="317.38197188830299"/>
    <n v="5"/>
    <s v="Late"/>
    <n v="31.738197188830299"/>
    <n v="0"/>
    <n v="3.1507775758351278E-3"/>
    <n v="0.64"/>
    <n v="0"/>
    <n v="19.294523327275055"/>
  </r>
  <r>
    <x v="9"/>
    <x v="1"/>
    <x v="0"/>
    <n v="0.63"/>
    <x v="1"/>
    <s v="Late"/>
    <n v="1"/>
    <n v="400.01639999999998"/>
    <x v="3"/>
    <d v="2021-06-22T00:00:00"/>
    <n v="63.551859509602203"/>
    <d v="2021-07-08T00:00:00"/>
    <d v="2021-07-06T00:00:00"/>
    <n v="1016.82975215363"/>
    <n v="-2"/>
    <s v="On Time"/>
    <n v="63.551859509601876"/>
    <n v="0.23884621943431114"/>
    <n v="9.8344880043292897E-4"/>
    <n v="0.63"/>
    <n v="0"/>
    <n v="23.70642785269921"/>
  </r>
  <r>
    <x v="3"/>
    <x v="2"/>
    <x v="2"/>
    <n v="0.88"/>
    <x v="3"/>
    <s v="Late"/>
    <n v="1"/>
    <n v="213.16659999999999"/>
    <x v="6"/>
    <d v="2021-01-03T00:00:00"/>
    <n v="5.2853297245392996"/>
    <d v="2021-01-13T00:00:00"/>
    <d v="2021-01-16T00:00:00"/>
    <n v="84.565275592628794"/>
    <n v="3"/>
    <s v="Late"/>
    <n v="5.2853297245392996"/>
    <n v="0.65839589383216179"/>
    <n v="1.1825184663469197E-2"/>
    <n v="0.88"/>
    <n v="0"/>
    <n v="39.922673416547319"/>
  </r>
  <r>
    <x v="4"/>
    <x v="0"/>
    <x v="0"/>
    <n v="0.79"/>
    <x v="0"/>
    <s v="Late"/>
    <n v="1"/>
    <n v="-6.8507999999999596"/>
    <x v="3"/>
    <d v="2021-09-06T00:00:00"/>
    <n v="75.756015937392107"/>
    <d v="2021-09-25T00:00:00"/>
    <d v="2021-09-22T00:00:00"/>
    <n v="1212.0962549982701"/>
    <n v="-3"/>
    <s v="On Time"/>
    <n v="75.756015937391879"/>
    <n v="0"/>
    <n v="8.250169867915541E-4"/>
    <n v="0.79"/>
    <n v="0"/>
    <n v="23.724750509603744"/>
  </r>
  <r>
    <x v="5"/>
    <x v="6"/>
    <x v="1"/>
    <n v="0.87"/>
    <x v="0"/>
    <s v="Late"/>
    <n v="1"/>
    <n v="399.90599999999898"/>
    <x v="3"/>
    <d v="2022-09-28T00:00:00"/>
    <n v="12.6029416957644"/>
    <d v="2022-10-11T00:00:00"/>
    <d v="2022-10-12T00:00:00"/>
    <n v="163.838242044937"/>
    <n v="1"/>
    <s v="Late"/>
    <n v="12.602941695764384"/>
    <n v="0.3490293829630155"/>
    <n v="6.1035811146320975E-3"/>
    <n v="0.87"/>
    <n v="0"/>
    <n v="33.263695092699272"/>
  </r>
  <r>
    <x v="6"/>
    <x v="0"/>
    <x v="1"/>
    <n v="0.77"/>
    <x v="1"/>
    <s v="Late"/>
    <n v="1"/>
    <n v="18.515999999999998"/>
    <x v="6"/>
    <d v="2023-06-21T00:00:00"/>
    <n v="66.7242293619815"/>
    <d v="2023-07-02T00:00:00"/>
    <d v="2023-07-08T00:00:00"/>
    <n v="800.69075234377794"/>
    <n v="6"/>
    <s v="Late"/>
    <n v="66.7242293619815"/>
    <n v="9.2249745909643466E-2"/>
    <n v="1.2489216305706105E-3"/>
    <n v="0.77"/>
    <n v="0"/>
    <n v="24.982462567109987"/>
  </r>
  <r>
    <x v="7"/>
    <x v="7"/>
    <x v="2"/>
    <n v="0.7"/>
    <x v="2"/>
    <s v="Late"/>
    <n v="1"/>
    <n v="-108.045599999999"/>
    <x v="3"/>
    <d v="2023-03-05T00:00:00"/>
    <n v="3.5556541688581702"/>
    <d v="2023-03-26T00:00:00"/>
    <d v="2023-03-28T00:00:00"/>
    <n v="35.556541688581703"/>
    <n v="2"/>
    <s v="Late"/>
    <n v="3.5556541688581702"/>
    <n v="0"/>
    <n v="2.8124219975001974E-2"/>
    <n v="0.7"/>
    <n v="0"/>
    <n v="21.843726599250058"/>
  </r>
  <r>
    <x v="8"/>
    <x v="4"/>
    <x v="2"/>
    <n v="0.92"/>
    <x v="1"/>
    <s v="Late"/>
    <n v="1"/>
    <n v="629.26599999999996"/>
    <x v="2"/>
    <d v="2021-04-12T00:00:00"/>
    <n v="58.495190557896599"/>
    <d v="2021-05-05T00:00:00"/>
    <d v="2021-05-11T00:00:00"/>
    <n v="350.97114334737898"/>
    <n v="6"/>
    <s v="Late"/>
    <n v="58.4951905578965"/>
    <n v="0.28704038214515093"/>
    <n v="2.8492370924359297E-3"/>
    <n v="0.92"/>
    <n v="0"/>
    <n v="33.4262847556761"/>
  </r>
  <r>
    <x v="9"/>
    <x v="3"/>
    <x v="0"/>
    <n v="0.91"/>
    <x v="0"/>
    <s v="Late"/>
    <n v="1"/>
    <n v="141.94720000000001"/>
    <x v="4"/>
    <d v="2021-07-14T00:00:00"/>
    <n v="78.113506291191896"/>
    <d v="2021-07-31T00:00:00"/>
    <d v="2021-07-31T00:00:00"/>
    <n v="546.79454403834302"/>
    <n v="0"/>
    <s v="On Time"/>
    <n v="78.113506291191854"/>
    <n v="0.32536757290027762"/>
    <n v="1.8288404866195532E-3"/>
    <n v="0.91"/>
    <n v="0"/>
    <n v="33.862216672604141"/>
  </r>
  <r>
    <x v="0"/>
    <x v="4"/>
    <x v="3"/>
    <n v="0.87"/>
    <x v="3"/>
    <s v="On Time"/>
    <n v="0"/>
    <n v="142.17320000000001"/>
    <x v="0"/>
    <d v="2021-07-12T00:00:00"/>
    <n v="43.754799149877798"/>
    <d v="2021-07-24T00:00:00"/>
    <d v="2021-07-30T00:00:00"/>
    <n v="437.547991498778"/>
    <n v="6"/>
    <s v="Late"/>
    <n v="43.754799149877798"/>
    <n v="0.8348730307493194"/>
    <n v="2.2854635821195233E-3"/>
    <n v="0.87"/>
    <n v="1"/>
    <n v="62.866024522449983"/>
  </r>
  <r>
    <x v="1"/>
    <x v="6"/>
    <x v="1"/>
    <n v="0.71"/>
    <x v="3"/>
    <s v="Late"/>
    <n v="1"/>
    <n v="855.67929999999899"/>
    <x v="4"/>
    <d v="2022-02-16T00:00:00"/>
    <n v="48.626522284026301"/>
    <d v="2022-03-04T00:00:00"/>
    <d v="2022-03-08T00:00:00"/>
    <n v="437.63870055623602"/>
    <n v="4"/>
    <s v="Late"/>
    <n v="48.626522284026223"/>
    <n v="0.71198072804516088"/>
    <n v="2.2849898757331248E-3"/>
    <n v="0.71"/>
    <n v="0"/>
    <n v="35.608164257175211"/>
  </r>
  <r>
    <x v="2"/>
    <x v="4"/>
    <x v="1"/>
    <n v="0.83"/>
    <x v="1"/>
    <s v="Late"/>
    <n v="1"/>
    <n v="257.18759999999997"/>
    <x v="6"/>
    <d v="2022-06-26T00:00:00"/>
    <n v="68.383593291142802"/>
    <d v="2022-07-18T00:00:00"/>
    <d v="2022-07-18T00:00:00"/>
    <n v="957.37030607600002"/>
    <n v="0"/>
    <s v="On Time"/>
    <n v="68.383593291142859"/>
    <n v="0.18091321402614896"/>
    <n v="1.0445279048801163E-3"/>
    <n v="0.83"/>
    <n v="0"/>
    <n v="28.549600117669382"/>
  </r>
  <r>
    <x v="3"/>
    <x v="4"/>
    <x v="3"/>
    <n v="0.74"/>
    <x v="2"/>
    <s v="Late"/>
    <n v="1"/>
    <n v="218.64"/>
    <x v="1"/>
    <d v="2022-11-12T00:00:00"/>
    <n v="13.8934783036217"/>
    <d v="2022-12-01T00:00:00"/>
    <d v="2022-12-06T00:00:00"/>
    <n v="152.828261339839"/>
    <n v="5"/>
    <s v="Late"/>
    <n v="13.893478303621727"/>
    <n v="0.32202191587133261"/>
    <n v="6.543292393913545E-3"/>
    <n v="0.74"/>
    <n v="0"/>
    <n v="28.836737089244057"/>
  </r>
  <r>
    <x v="4"/>
    <x v="6"/>
    <x v="0"/>
    <n v="0.64"/>
    <x v="2"/>
    <s v="Late"/>
    <n v="1"/>
    <n v="525.92259999999999"/>
    <x v="0"/>
    <d v="2022-07-14T00:00:00"/>
    <n v="21.474759213000102"/>
    <d v="2022-08-07T00:00:00"/>
    <d v="2022-08-05T00:00:00"/>
    <n v="300.64662898200203"/>
    <n v="-2"/>
    <s v="On Time"/>
    <n v="21.474759213000144"/>
    <n v="0.86040141178949581"/>
    <n v="3.3261640198196407E-3"/>
    <n v="0.64"/>
    <n v="0"/>
    <n v="36.507813156384508"/>
  </r>
  <r>
    <x v="5"/>
    <x v="2"/>
    <x v="0"/>
    <n v="0.96"/>
    <x v="0"/>
    <s v="Late"/>
    <n v="1"/>
    <n v="669.75720000000001"/>
    <x v="6"/>
    <d v="2023-07-06T00:00:00"/>
    <n v="40.539596007486701"/>
    <d v="2023-07-22T00:00:00"/>
    <d v="2023-07-21T00:00:00"/>
    <n v="729.71272813476105"/>
    <n v="-1"/>
    <s v="On Time"/>
    <n v="40.539596007486722"/>
    <n v="0.83113214430904903"/>
    <n v="1.3704022986636504E-3"/>
    <n v="0.96"/>
    <n v="0"/>
    <n v="45.463754955140892"/>
  </r>
  <r>
    <x v="6"/>
    <x v="2"/>
    <x v="2"/>
    <n v="0.65"/>
    <x v="1"/>
    <s v="On Time"/>
    <n v="0"/>
    <n v="510.048"/>
    <x v="1"/>
    <d v="2024-02-21T00:00:00"/>
    <n v="41.8856562875972"/>
    <d v="2024-03-03T00:00:00"/>
    <d v="2024-03-05T00:00:00"/>
    <n v="376.97090658837499"/>
    <n v="2"/>
    <s v="Late"/>
    <n v="41.885656287597222"/>
    <n v="0.72527472527472525"/>
    <n v="2.6527246069202042E-3"/>
    <n v="0.65"/>
    <n v="1"/>
    <n v="54.085076243702112"/>
  </r>
  <r>
    <x v="7"/>
    <x v="6"/>
    <x v="2"/>
    <n v="0.97"/>
    <x v="1"/>
    <s v="On Time"/>
    <n v="0"/>
    <n v="258.14879999999999"/>
    <x v="4"/>
    <d v="2022-05-19T00:00:00"/>
    <n v="38.8711455805174"/>
    <d v="2022-05-31T00:00:00"/>
    <d v="2022-06-03T00:00:00"/>
    <n v="466.453746966209"/>
    <n v="3"/>
    <s v="Late"/>
    <n v="38.871145580517414"/>
    <n v="0.3658733209291567"/>
    <n v="2.1438352816414235E-3"/>
    <n v="0.97"/>
    <n v="1"/>
    <n v="56.481781477032378"/>
  </r>
  <r>
    <x v="8"/>
    <x v="3"/>
    <x v="2"/>
    <n v="0.77"/>
    <x v="3"/>
    <s v="On Time"/>
    <n v="0"/>
    <n v="310.78899999999999"/>
    <x v="6"/>
    <d v="2022-08-15T00:00:00"/>
    <n v="40.7884328651229"/>
    <d v="2022-09-07T00:00:00"/>
    <d v="2022-09-04T00:00:00"/>
    <n v="611.82649297684304"/>
    <n v="-3"/>
    <s v="On Time"/>
    <n v="40.788432865122871"/>
    <n v="0.33334334399826704"/>
    <n v="1.6344503081821417E-3"/>
    <n v="0.77"/>
    <n v="1"/>
    <n v="49.815900389210803"/>
  </r>
  <r>
    <x v="9"/>
    <x v="7"/>
    <x v="1"/>
    <n v="0.67"/>
    <x v="1"/>
    <s v="Late"/>
    <n v="1"/>
    <n v="547.07399999999996"/>
    <x v="0"/>
    <d v="2022-10-27T00:00:00"/>
    <n v="57.852926024629198"/>
    <d v="2022-11-15T00:00:00"/>
    <d v="2022-11-19T00:00:00"/>
    <n v="1041.35266844332"/>
    <n v="4"/>
    <s v="Late"/>
    <n v="57.852926024628886"/>
    <n v="0.90528102939862387"/>
    <n v="9.6028946801938238E-4"/>
    <n v="0.67"/>
    <n v="0"/>
    <n v="38.23442927201306"/>
  </r>
  <r>
    <x v="7"/>
    <x v="5"/>
    <x v="2"/>
    <n v="0.81"/>
    <x v="1"/>
    <s v="Late"/>
    <n v="1"/>
    <n v="175.27679999999901"/>
    <x v="0"/>
    <d v="2024-03-22T00:00:00"/>
    <n v="63.457327449375001"/>
    <d v="2024-04-06T00:00:00"/>
    <d v="2024-04-08T00:00:00"/>
    <n v="634.57327449374998"/>
    <n v="2"/>
    <s v="Late"/>
    <n v="63.457327449375001"/>
    <n v="0.40730144389231743"/>
    <n v="1.5758621426308574E-3"/>
    <n v="0.81"/>
    <n v="0"/>
    <n v="32.493304742125275"/>
  </r>
  <r>
    <x v="8"/>
    <x v="4"/>
    <x v="0"/>
    <n v="0.94"/>
    <x v="3"/>
    <s v="On Time"/>
    <n v="0"/>
    <n v="304.92"/>
    <x v="5"/>
    <d v="2023-11-16T00:00:00"/>
    <n v="7.4069499223704698"/>
    <d v="2023-12-05T00:00:00"/>
    <d v="2023-12-10T00:00:00"/>
    <n v="66.662549301334195"/>
    <n v="5"/>
    <s v="Late"/>
    <n v="7.4069499223704662"/>
    <n v="0.25850097917037568"/>
    <n v="1.5000926464418694E-2"/>
    <n v="0.94"/>
    <n v="1"/>
    <n v="53.820047377340074"/>
  </r>
  <r>
    <x v="9"/>
    <x v="3"/>
    <x v="3"/>
    <n v="0.89"/>
    <x v="3"/>
    <s v="Late"/>
    <n v="1"/>
    <n v="184.719999999999"/>
    <x v="2"/>
    <d v="2023-03-13T00:00:00"/>
    <n v="15.4156142619753"/>
    <d v="2023-03-24T00:00:00"/>
    <d v="2023-03-21T00:00:00"/>
    <n v="123.324914095803"/>
    <n v="-3"/>
    <s v="On Time"/>
    <n v="15.415614261975374"/>
    <n v="0.58267617185035336"/>
    <n v="8.1086616385004414E-3"/>
    <n v="0.89"/>
    <n v="0"/>
    <n v="38.596783286162086"/>
  </r>
  <r>
    <x v="0"/>
    <x v="4"/>
    <x v="0"/>
    <n v="0.91"/>
    <x v="1"/>
    <s v="Late"/>
    <n v="1"/>
    <n v="117.532499999999"/>
    <x v="3"/>
    <d v="2021-09-28T00:00:00"/>
    <n v="50.812838696939998"/>
    <d v="2021-10-10T00:00:00"/>
    <d v="2021-10-12T00:00:00"/>
    <n v="304.87703218164"/>
    <n v="2"/>
    <s v="Late"/>
    <n v="50.812838696939998"/>
    <n v="0.18735279935281401"/>
    <n v="3.2800109370135131E-3"/>
    <n v="0.91"/>
    <n v="0"/>
    <n v="31.145456315166687"/>
  </r>
  <r>
    <x v="1"/>
    <x v="5"/>
    <x v="1"/>
    <n v="0.86"/>
    <x v="1"/>
    <s v="Late"/>
    <n v="1"/>
    <n v="312.93599999999998"/>
    <x v="1"/>
    <d v="2023-06-06T00:00:00"/>
    <n v="4.0805915719456696"/>
    <d v="2023-06-24T00:00:00"/>
    <d v="2023-06-25T00:00:00"/>
    <n v="57.128282007239299"/>
    <n v="1"/>
    <s v="Late"/>
    <n v="4.0805915719456642"/>
    <n v="0.39075189547184508"/>
    <n v="1.7504464774090001E-2"/>
    <n v="0.86"/>
    <n v="0"/>
    <n v="34.140171852659599"/>
  </r>
  <r>
    <x v="2"/>
    <x v="7"/>
    <x v="0"/>
    <n v="0.87"/>
    <x v="0"/>
    <s v="Late"/>
    <n v="1"/>
    <n v="121.548"/>
    <x v="5"/>
    <d v="2021-12-22T00:00:00"/>
    <n v="25.356327557946202"/>
    <d v="2022-01-15T00:00:00"/>
    <d v="2022-01-13T00:00:00"/>
    <n v="431.05756848508599"/>
    <n v="-2"/>
    <s v="On Time"/>
    <n v="25.356327557946233"/>
    <n v="0.38116203808233617"/>
    <n v="2.3198757500405625E-3"/>
    <n v="0.87"/>
    <n v="0"/>
    <n v="33.792837034147936"/>
  </r>
  <r>
    <x v="3"/>
    <x v="2"/>
    <x v="2"/>
    <n v="0.93"/>
    <x v="1"/>
    <s v="Late"/>
    <n v="1"/>
    <n v="430.28"/>
    <x v="3"/>
    <d v="2021-04-18T00:00:00"/>
    <n v="5.82289578176968"/>
    <d v="2021-04-30T00:00:00"/>
    <d v="2021-04-27T00:00:00"/>
    <n v="69.8747493812361"/>
    <n v="-3"/>
    <s v="On Time"/>
    <n v="5.8228957817696747"/>
    <n v="0.76030604491721598"/>
    <n v="1.4311321455251418E-2"/>
    <n v="0.93"/>
    <n v="0"/>
    <n v="43.535460542001871"/>
  </r>
  <r>
    <x v="4"/>
    <x v="3"/>
    <x v="1"/>
    <n v="0.7"/>
    <x v="0"/>
    <s v="Late"/>
    <n v="1"/>
    <n v="306.87479999999999"/>
    <x v="3"/>
    <d v="2023-09-29T00:00:00"/>
    <n v="40.042082957772401"/>
    <d v="2023-10-22T00:00:00"/>
    <d v="2023-10-28T00:00:00"/>
    <n v="520.54707845104099"/>
    <n v="6"/>
    <s v="Late"/>
    <n v="40.042082957772386"/>
    <n v="0.66730075229171071"/>
    <n v="1.9210558302923085E-3"/>
    <n v="0.7"/>
    <n v="0"/>
    <n v="34.403646720742984"/>
  </r>
  <r>
    <x v="5"/>
    <x v="1"/>
    <x v="3"/>
    <n v="0.79"/>
    <x v="1"/>
    <s v="Late"/>
    <n v="1"/>
    <n v="203.72399999999999"/>
    <x v="6"/>
    <d v="2023-10-25T00:00:00"/>
    <n v="51.395337861851502"/>
    <d v="2023-11-10T00:00:00"/>
    <d v="2023-11-14T00:00:00"/>
    <n v="513.95337861851499"/>
    <n v="4"/>
    <s v="Late"/>
    <n v="51.395337861851502"/>
    <n v="0.336831871751121"/>
    <n v="1.9457017729661741E-3"/>
    <n v="0.79"/>
    <n v="0"/>
    <n v="30.495008488211404"/>
  </r>
  <r>
    <x v="6"/>
    <x v="1"/>
    <x v="2"/>
    <n v="0.69"/>
    <x v="0"/>
    <s v="Late"/>
    <n v="1"/>
    <n v="599.58360000000005"/>
    <x v="3"/>
    <d v="2022-02-07T00:00:00"/>
    <n v="44.253100922449399"/>
    <d v="2022-02-23T00:00:00"/>
    <d v="2022-02-21T00:00:00"/>
    <n v="398.27790830204498"/>
    <n v="-2"/>
    <s v="On Time"/>
    <n v="44.253100922449441"/>
    <n v="0.63530448404151174"/>
    <n v="2.5108096109654732E-3"/>
    <n v="0.69"/>
    <n v="0"/>
    <n v="33.481413969159199"/>
  </r>
  <r>
    <x v="7"/>
    <x v="5"/>
    <x v="1"/>
    <n v="0.99"/>
    <x v="3"/>
    <s v="Late"/>
    <n v="1"/>
    <n v="128.00800000000001"/>
    <x v="2"/>
    <d v="2021-09-09T00:00:00"/>
    <n v="26.685587550073599"/>
    <d v="2021-09-23T00:00:00"/>
    <d v="2021-09-23T00:00:00"/>
    <n v="346.91263815095698"/>
    <n v="0"/>
    <s v="On Time"/>
    <n v="26.685587550073613"/>
    <n v="0.12483007592704919"/>
    <n v="2.8825701056323463E-3"/>
    <n v="0.99"/>
    <n v="0"/>
    <n v="32.283078621709954"/>
  </r>
  <r>
    <x v="8"/>
    <x v="1"/>
    <x v="3"/>
    <n v="0.97"/>
    <x v="1"/>
    <s v="Late"/>
    <n v="1"/>
    <n v="239.6"/>
    <x v="0"/>
    <d v="2022-05-07T00:00:00"/>
    <n v="26.948130314756401"/>
    <d v="2022-05-20T00:00:00"/>
    <d v="2022-05-26T00:00:00"/>
    <n v="323.37756377707598"/>
    <n v="6"/>
    <s v="Late"/>
    <n v="26.94813031475633"/>
    <n v="0.43844239496413406"/>
    <n v="3.092360485124322E-3"/>
    <n v="0.97"/>
    <n v="0"/>
    <n v="37.961618713836408"/>
  </r>
  <r>
    <x v="9"/>
    <x v="2"/>
    <x v="2"/>
    <n v="0.62"/>
    <x v="2"/>
    <s v="Late"/>
    <n v="1"/>
    <n v="478.14199999999897"/>
    <x v="5"/>
    <d v="2023-08-28T00:00:00"/>
    <n v="25.971177573496401"/>
    <d v="2023-09-20T00:00:00"/>
    <d v="2023-09-19T00:00:00"/>
    <n v="259.71177573496402"/>
    <n v="-1"/>
    <s v="On Time"/>
    <n v="25.971177573496401"/>
    <n v="0.58603589690792357"/>
    <n v="3.8504222504739272E-3"/>
    <n v="0.62"/>
    <n v="0"/>
    <n v="30.436230605672687"/>
  </r>
  <r>
    <x v="0"/>
    <x v="5"/>
    <x v="2"/>
    <n v="0.88"/>
    <x v="2"/>
    <s v="Late"/>
    <n v="1"/>
    <n v="92.147999999999897"/>
    <x v="3"/>
    <d v="2022-04-13T00:00:00"/>
    <n v="5.69269356713425"/>
    <d v="2022-04-28T00:00:00"/>
    <d v="2022-05-02T00:00:00"/>
    <n v="68.312322805611004"/>
    <n v="4"/>
    <s v="Late"/>
    <n v="5.69269356713425"/>
    <n v="0.19860852472584337"/>
    <n v="1.4638647302999665E-2"/>
    <n v="0.88"/>
    <n v="0"/>
    <n v="30.811329913606862"/>
  </r>
  <r>
    <x v="1"/>
    <x v="2"/>
    <x v="1"/>
    <n v="0.96"/>
    <x v="2"/>
    <s v="Late"/>
    <n v="1"/>
    <n v="-32.810400000000001"/>
    <x v="6"/>
    <d v="2022-06-03T00:00:00"/>
    <n v="8.6927396162637791"/>
    <d v="2022-06-27T00:00:00"/>
    <d v="2022-06-25T00:00:00"/>
    <n v="78.234656546373998"/>
    <n v="-2"/>
    <s v="On Time"/>
    <n v="8.6927396162637773"/>
    <n v="0"/>
    <n v="1.2782059053422761E-2"/>
    <n v="0.96"/>
    <n v="0"/>
    <n v="29.18346177160268"/>
  </r>
  <r>
    <x v="2"/>
    <x v="7"/>
    <x v="2"/>
    <n v="0.67"/>
    <x v="1"/>
    <s v="Late"/>
    <n v="1"/>
    <n v="438.77199999999903"/>
    <x v="2"/>
    <d v="2022-10-24T00:00:00"/>
    <n v="48.075156278795703"/>
    <d v="2022-11-13T00:00:00"/>
    <d v="2022-11-14T00:00:00"/>
    <n v="288.45093767277399"/>
    <n v="1"/>
    <s v="Late"/>
    <n v="48.075156278795667"/>
    <n v="0.32135711000372225"/>
    <n v="3.4667940692722768E-3"/>
    <n v="0.67"/>
    <n v="0"/>
    <n v="26.63114602215262"/>
  </r>
  <r>
    <x v="3"/>
    <x v="4"/>
    <x v="2"/>
    <n v="0.82"/>
    <x v="3"/>
    <s v="Late"/>
    <n v="1"/>
    <n v="-80.6647999999999"/>
    <x v="4"/>
    <d v="2024-01-02T00:00:00"/>
    <n v="13.7419545181071"/>
    <d v="2024-01-23T00:00:00"/>
    <d v="2024-01-25T00:00:00"/>
    <n v="96.193681626749793"/>
    <n v="2"/>
    <s v="Late"/>
    <n v="13.741954518107113"/>
    <n v="0"/>
    <n v="1.0395693179518741E-2"/>
    <n v="0.82"/>
    <n v="0"/>
    <n v="24.91187079538556"/>
  </r>
  <r>
    <x v="4"/>
    <x v="7"/>
    <x v="2"/>
    <n v="0.96"/>
    <x v="1"/>
    <s v="Late"/>
    <n v="1"/>
    <n v="391.07600000000002"/>
    <x v="0"/>
    <d v="2024-03-05T00:00:00"/>
    <n v="21.153242193097299"/>
    <d v="2024-03-27T00:00:00"/>
    <d v="2024-03-24T00:00:00"/>
    <n v="274.992148510265"/>
    <n v="-3"/>
    <s v="On Time"/>
    <n v="21.153242193097306"/>
    <n v="0.37846333103009122"/>
    <n v="3.636467460679779E-3"/>
    <n v="0.96"/>
    <n v="0"/>
    <n v="36.478360644422217"/>
  </r>
  <r>
    <x v="5"/>
    <x v="7"/>
    <x v="3"/>
    <n v="0.61"/>
    <x v="2"/>
    <s v="Late"/>
    <n v="1"/>
    <n v="225.6112"/>
    <x v="0"/>
    <d v="2023-06-18T00:00:00"/>
    <n v="60.839266056331503"/>
    <d v="2023-07-07T00:00:00"/>
    <d v="2023-07-12T00:00:00"/>
    <n v="608.39266056331496"/>
    <n v="5"/>
    <s v="Late"/>
    <n v="60.839266056331496"/>
    <n v="0.25148071987686971"/>
    <n v="1.6436753182954133E-3"/>
    <n v="0.61"/>
    <n v="0"/>
    <n v="23.378924657086255"/>
  </r>
  <r>
    <x v="6"/>
    <x v="2"/>
    <x v="0"/>
    <n v="0.87"/>
    <x v="1"/>
    <s v="Late"/>
    <n v="1"/>
    <n v="7.9725000000000801"/>
    <x v="5"/>
    <d v="2024-03-09T00:00:00"/>
    <n v="3.7063312342090802"/>
    <d v="2024-03-20T00:00:00"/>
    <d v="2024-03-23T00:00:00"/>
    <n v="22.237987405254501"/>
    <n v="3"/>
    <s v="Late"/>
    <n v="3.7063312342090833"/>
    <n v="1.1582506746474335E-2"/>
    <n v="4.4968098136601839E-2"/>
    <n v="0.87"/>
    <n v="0"/>
    <n v="27.680693079027542"/>
  </r>
  <r>
    <x v="7"/>
    <x v="5"/>
    <x v="1"/>
    <n v="0.72"/>
    <x v="3"/>
    <s v="On Time"/>
    <n v="0"/>
    <n v="160.28399999999999"/>
    <x v="0"/>
    <d v="2022-05-25T00:00:00"/>
    <n v="36.468388431284701"/>
    <d v="2022-06-15T00:00:00"/>
    <d v="2022-06-20T00:00:00"/>
    <n v="583.49421490055602"/>
    <n v="5"/>
    <s v="Late"/>
    <n v="36.468388431284751"/>
    <n v="0.61568600336490809"/>
    <n v="1.7138130498353414E-3"/>
    <n v="0.72"/>
    <n v="1"/>
    <n v="53.96513445879323"/>
  </r>
  <r>
    <x v="8"/>
    <x v="5"/>
    <x v="1"/>
    <n v="0.96"/>
    <x v="0"/>
    <s v="On Time"/>
    <n v="0"/>
    <n v="59.477999999999902"/>
    <x v="3"/>
    <d v="2022-01-04T00:00:00"/>
    <n v="18.214069049965399"/>
    <d v="2022-01-24T00:00:00"/>
    <d v="2022-01-27T00:00:00"/>
    <n v="254.99696669951601"/>
    <n v="3"/>
    <s v="Late"/>
    <n v="18.214069049965428"/>
    <n v="0.52917311695937563"/>
    <n v="3.9216152762255509E-3"/>
    <n v="0.96"/>
    <n v="1"/>
    <n v="59.50111079747429"/>
  </r>
  <r>
    <x v="9"/>
    <x v="1"/>
    <x v="2"/>
    <n v="0.98"/>
    <x v="3"/>
    <s v="Late"/>
    <n v="1"/>
    <n v="468.0025"/>
    <x v="6"/>
    <d v="2021-08-04T00:00:00"/>
    <n v="53.407786199612701"/>
    <d v="2021-08-24T00:00:00"/>
    <d v="2021-08-24T00:00:00"/>
    <n v="373.85450339728902"/>
    <n v="0"/>
    <s v="On Time"/>
    <n v="53.407786199612715"/>
    <n v="0.7423868084279488"/>
    <n v="2.6748373790145747E-3"/>
    <n v="0.98"/>
    <n v="0"/>
    <n v="44.327981289929411"/>
  </r>
  <r>
    <x v="2"/>
    <x v="0"/>
    <x v="2"/>
    <n v="0.97"/>
    <x v="1"/>
    <s v="Late"/>
    <n v="1"/>
    <n v="367.14199999999897"/>
    <x v="0"/>
    <d v="2023-08-09T00:00:00"/>
    <n v="23.0905150069513"/>
    <d v="2023-08-19T00:00:00"/>
    <d v="2023-08-19T00:00:00"/>
    <n v="161.63360504865901"/>
    <n v="0"/>
    <s v="On Time"/>
    <n v="23.090515006951286"/>
    <n v="0.37103714797948767"/>
    <n v="6.1868322475326521E-3"/>
    <n v="0.97"/>
    <n v="0"/>
    <n v="36.706347927015734"/>
  </r>
  <r>
    <x v="3"/>
    <x v="4"/>
    <x v="1"/>
    <n v="0.78"/>
    <x v="0"/>
    <s v="Late"/>
    <n v="1"/>
    <n v="493.910899999999"/>
    <x v="0"/>
    <d v="2023-12-10T00:00:00"/>
    <n v="28.0218138757077"/>
    <d v="2023-12-27T00:00:00"/>
    <d v="2023-12-26T00:00:00"/>
    <n v="280.21813875707699"/>
    <n v="-1"/>
    <s v="On Time"/>
    <n v="28.0218138757077"/>
    <n v="0.3919085174465291"/>
    <n v="3.5686483552976093E-3"/>
    <n v="0.78"/>
    <n v="0"/>
    <n v="31.345229799589507"/>
  </r>
  <r>
    <x v="4"/>
    <x v="2"/>
    <x v="2"/>
    <n v="0.94"/>
    <x v="1"/>
    <s v="Late"/>
    <n v="1"/>
    <n v="585.44960000000003"/>
    <x v="4"/>
    <d v="2023-05-23T00:00:00"/>
    <n v="49.958161562510099"/>
    <d v="2023-06-11T00:00:00"/>
    <d v="2023-06-17T00:00:00"/>
    <n v="299.74896937506003"/>
    <n v="6"/>
    <s v="Late"/>
    <n v="49.958161562510007"/>
    <n v="0.37780457735935558"/>
    <n v="3.3361248983937385E-3"/>
    <n v="0.94"/>
    <n v="0"/>
    <n v="35.856175294138922"/>
  </r>
  <r>
    <x v="5"/>
    <x v="1"/>
    <x v="3"/>
    <n v="0.93"/>
    <x v="1"/>
    <s v="Late"/>
    <n v="1"/>
    <n v="77.991199999999694"/>
    <x v="4"/>
    <d v="2022-03-31T00:00:00"/>
    <n v="25.3715917144469"/>
    <d v="2022-04-13T00:00:00"/>
    <d v="2022-04-10T00:00:00"/>
    <n v="177.60114200112801"/>
    <n v="-3"/>
    <s v="On Time"/>
    <n v="25.371591714446858"/>
    <n v="5.8580925761179986E-2"/>
    <n v="5.6305944248581947E-3"/>
    <n v="0.93"/>
    <n v="0"/>
    <n v="29.240536347969346"/>
  </r>
  <r>
    <x v="6"/>
    <x v="3"/>
    <x v="1"/>
    <n v="0.72"/>
    <x v="1"/>
    <s v="Late"/>
    <n v="1"/>
    <n v="552.91039999999998"/>
    <x v="1"/>
    <d v="2023-01-31T00:00:00"/>
    <n v="45.250154427905898"/>
    <d v="2023-02-10T00:00:00"/>
    <d v="2023-02-15T00:00:00"/>
    <n v="271.50092656743499"/>
    <n v="5"/>
    <s v="Late"/>
    <n v="45.250154427905834"/>
    <n v="0.85942341840465153"/>
    <n v="3.6832286822845207E-3"/>
    <n v="0.72"/>
    <n v="0"/>
    <n v="38.898965228561565"/>
  </r>
  <r>
    <x v="7"/>
    <x v="0"/>
    <x v="2"/>
    <n v="0.92"/>
    <x v="0"/>
    <s v="Late"/>
    <n v="1"/>
    <n v="-12.072800000000001"/>
    <x v="2"/>
    <d v="2022-12-29T00:00:00"/>
    <n v="59.999979622827901"/>
    <d v="2023-01-12T00:00:00"/>
    <d v="2023-01-13T00:00:00"/>
    <n v="659.99977585110696"/>
    <n v="1"/>
    <s v="Late"/>
    <n v="59.999979622827908"/>
    <n v="0"/>
    <n v="1.5151520297267428E-3"/>
    <n v="0.92"/>
    <n v="0"/>
    <n v="27.645454560891803"/>
  </r>
  <r>
    <x v="8"/>
    <x v="0"/>
    <x v="1"/>
    <n v="0.61"/>
    <x v="1"/>
    <s v="On Time"/>
    <n v="0"/>
    <n v="-0.851999999999975"/>
    <x v="3"/>
    <d v="2023-05-06T00:00:00"/>
    <n v="14.581556651135299"/>
    <d v="2023-05-21T00:00:00"/>
    <d v="2023-05-21T00:00:00"/>
    <n v="131.23400986021699"/>
    <n v="0"/>
    <s v="On Time"/>
    <n v="14.581556651135221"/>
    <n v="0"/>
    <n v="7.619975957948273E-3"/>
    <n v="0.61"/>
    <n v="1"/>
    <n v="38.528599278738454"/>
  </r>
  <r>
    <x v="9"/>
    <x v="2"/>
    <x v="0"/>
    <n v="0.83"/>
    <x v="1"/>
    <s v="On Time"/>
    <n v="0"/>
    <n v="128.7424"/>
    <x v="0"/>
    <d v="2022-07-18T00:00:00"/>
    <n v="53.891998348263101"/>
    <d v="2022-08-07T00:00:00"/>
    <d v="2022-08-06T00:00:00"/>
    <n v="323.35199008957801"/>
    <n v="-1"/>
    <s v="On Time"/>
    <n v="53.891998348263002"/>
    <n v="0.44122743523941133"/>
    <n v="3.0926050577977596E-3"/>
    <n v="0.83"/>
    <n v="1"/>
    <n v="53.817326856522165"/>
  </r>
  <r>
    <x v="0"/>
    <x v="6"/>
    <x v="2"/>
    <n v="0.69"/>
    <x v="0"/>
    <s v="Late"/>
    <n v="1"/>
    <n v="637.02520000000004"/>
    <x v="0"/>
    <d v="2022-01-15T00:00:00"/>
    <n v="52.213607057986003"/>
    <d v="2022-01-29T00:00:00"/>
    <d v="2022-01-26T00:00:00"/>
    <n v="365.49524940590197"/>
    <n v="-3"/>
    <s v="On Time"/>
    <n v="52.213607057985996"/>
    <n v="0.42431143040448804"/>
    <n v="2.7360136735715725E-3"/>
    <n v="0.69"/>
    <n v="0"/>
    <n v="29.268309018296907"/>
  </r>
  <r>
    <x v="1"/>
    <x v="4"/>
    <x v="1"/>
    <n v="0.65"/>
    <x v="3"/>
    <s v="Late"/>
    <n v="1"/>
    <n v="496.21759999999898"/>
    <x v="6"/>
    <d v="2022-11-21T00:00:00"/>
    <n v="10.2795090992366"/>
    <d v="2022-12-03T00:00:00"/>
    <d v="2022-12-09T00:00:00"/>
    <n v="154.19263648854999"/>
    <n v="6"/>
    <s v="Late"/>
    <n v="10.279509099236666"/>
    <n v="0.32589771719438876"/>
    <n v="6.4853940030674406E-3"/>
    <n v="0.65"/>
    <n v="0"/>
    <n v="26.212516163979799"/>
  </r>
  <r>
    <x v="2"/>
    <x v="0"/>
    <x v="2"/>
    <n v="0.63"/>
    <x v="0"/>
    <s v="Late"/>
    <n v="1"/>
    <n v="575.55399999999997"/>
    <x v="1"/>
    <d v="2022-11-26T00:00:00"/>
    <n v="39.1753738570576"/>
    <d v="2022-12-13T00:00:00"/>
    <d v="2022-12-19T00:00:00"/>
    <n v="548.45523399880597"/>
    <n v="6"/>
    <s v="Late"/>
    <n v="39.175373857057572"/>
    <n v="0.73712993273600036"/>
    <n v="1.823302865958568E-3"/>
    <n v="0.63"/>
    <n v="0"/>
    <n v="33.697297740698758"/>
  </r>
  <r>
    <x v="3"/>
    <x v="2"/>
    <x v="2"/>
    <n v="0.87"/>
    <x v="3"/>
    <s v="Late"/>
    <n v="1"/>
    <n v="181.18559999999999"/>
    <x v="2"/>
    <d v="2022-12-07T00:00:00"/>
    <n v="51.629755007595499"/>
    <d v="2022-12-31T00:00:00"/>
    <d v="2023-01-02T00:00:00"/>
    <n v="671.18681509874102"/>
    <n v="2"/>
    <s v="Late"/>
    <n v="51.629755007595463"/>
    <n v="0.14326759579765591"/>
    <n v="1.4898981587605918E-3"/>
    <n v="0.87"/>
    <n v="0"/>
    <n v="29.010048860715937"/>
  </r>
  <r>
    <x v="4"/>
    <x v="2"/>
    <x v="2"/>
    <n v="0.73"/>
    <x v="1"/>
    <s v="On Time"/>
    <n v="0"/>
    <n v="288.38639999999998"/>
    <x v="1"/>
    <d v="2024-01-31T00:00:00"/>
    <n v="18.571294935683099"/>
    <d v="2024-02-19T00:00:00"/>
    <d v="2024-02-16T00:00:00"/>
    <n v="167.14165442114799"/>
    <n v="-3"/>
    <s v="On Time"/>
    <n v="18.57129493568311"/>
    <n v="0.21098977895071386"/>
    <n v="5.9829490348366002E-3"/>
    <n v="0.73"/>
    <n v="1"/>
    <n v="46.299284050059377"/>
  </r>
  <r>
    <x v="5"/>
    <x v="1"/>
    <x v="1"/>
    <n v="0.88"/>
    <x v="0"/>
    <s v="On Time"/>
    <n v="0"/>
    <n v="327.74200000000002"/>
    <x v="5"/>
    <d v="2021-03-29T00:00:00"/>
    <n v="17.267193494345101"/>
    <d v="2021-04-21T00:00:00"/>
    <d v="2021-04-24T00:00:00"/>
    <n v="241.74070892083199"/>
    <n v="3"/>
    <s v="Late"/>
    <n v="17.267193494345143"/>
    <n v="0.61102348699247933"/>
    <n v="4.1366636362743991E-3"/>
    <n v="0.88"/>
    <n v="1"/>
    <n v="58.744569648937819"/>
  </r>
  <r>
    <x v="6"/>
    <x v="3"/>
    <x v="0"/>
    <n v="0.63"/>
    <x v="2"/>
    <s v="Late"/>
    <n v="1"/>
    <n v="-91.535399999999896"/>
    <x v="2"/>
    <d v="2023-07-11T00:00:00"/>
    <n v="77.327318951922393"/>
    <d v="2023-07-29T00:00:00"/>
    <d v="2023-07-27T00:00:00"/>
    <n v="1159.9097842788301"/>
    <n v="-2"/>
    <s v="On Time"/>
    <n v="77.32731895192201"/>
    <n v="0"/>
    <n v="8.6213601570896874E-4"/>
    <n v="0.63"/>
    <n v="0"/>
    <n v="18.925864080471268"/>
  </r>
  <r>
    <x v="7"/>
    <x v="6"/>
    <x v="2"/>
    <n v="0.72"/>
    <x v="2"/>
    <s v="Late"/>
    <n v="1"/>
    <n v="860.86489999999901"/>
    <x v="0"/>
    <d v="2022-09-11T00:00:00"/>
    <n v="52.534530729085098"/>
    <d v="2022-10-04T00:00:00"/>
    <d v="2022-10-05T00:00:00"/>
    <n v="577.87983801993596"/>
    <n v="1"/>
    <s v="Late"/>
    <n v="52.534530729085084"/>
    <n v="0.41122320652630007"/>
    <n v="1.7304635569678787E-3"/>
    <n v="0.72"/>
    <n v="0"/>
    <n v="29.876378037235042"/>
  </r>
  <r>
    <x v="8"/>
    <x v="4"/>
    <x v="1"/>
    <n v="0.81"/>
    <x v="1"/>
    <s v="Late"/>
    <n v="1"/>
    <n v="337.892799999999"/>
    <x v="0"/>
    <d v="2023-06-08T00:00:00"/>
    <n v="53.343983102921896"/>
    <d v="2023-06-24T00:00:00"/>
    <d v="2023-06-22T00:00:00"/>
    <n v="480.09584792629698"/>
    <n v="-2"/>
    <s v="On Time"/>
    <n v="53.343983102921889"/>
    <n v="0.67614693292095229"/>
    <n v="2.0829174097617216E-3"/>
    <n v="0.81"/>
    <n v="0"/>
    <n v="37.885426180711896"/>
  </r>
  <r>
    <x v="9"/>
    <x v="5"/>
    <x v="2"/>
    <n v="0.91"/>
    <x v="2"/>
    <s v="Late"/>
    <n v="1"/>
    <n v="60.984999999999999"/>
    <x v="2"/>
    <d v="2023-11-12T00:00:00"/>
    <n v="69.830668046105501"/>
    <d v="2023-11-24T00:00:00"/>
    <d v="2023-11-26T00:00:00"/>
    <n v="1047.46002069158"/>
    <n v="2"/>
    <s v="Late"/>
    <n v="69.83066804610533"/>
    <n v="0.43878835845594844"/>
    <n v="9.5469037504625264E-4"/>
    <n v="0.91"/>
    <n v="0"/>
    <n v="36.10440788037036"/>
  </r>
  <r>
    <x v="3"/>
    <x v="7"/>
    <x v="3"/>
    <n v="0.72"/>
    <x v="3"/>
    <s v="Late"/>
    <n v="1"/>
    <n v="288.05189999999999"/>
    <x v="0"/>
    <d v="2023-11-10T00:00:00"/>
    <n v="53.523024238010201"/>
    <d v="2023-11-29T00:00:00"/>
    <d v="2023-11-29T00:00:00"/>
    <n v="749.32233933214297"/>
    <n v="0"/>
    <s v="On Time"/>
    <n v="53.523024238010215"/>
    <n v="0.46245026545160489"/>
    <n v="1.3345391529248699E-3"/>
    <n v="0.72"/>
    <n v="0"/>
    <n v="30.889041483619845"/>
  </r>
  <r>
    <x v="4"/>
    <x v="3"/>
    <x v="2"/>
    <n v="0.84"/>
    <x v="0"/>
    <s v="Late"/>
    <n v="1"/>
    <n v="36.6129999999999"/>
    <x v="3"/>
    <d v="2022-03-14T00:00:00"/>
    <n v="7.1263965031320202"/>
    <d v="2022-03-24T00:00:00"/>
    <d v="2022-03-30T00:00:00"/>
    <n v="78.390361534452296"/>
    <n v="6"/>
    <s v="Late"/>
    <n v="7.1263965031320273"/>
    <n v="0.47082802875403396"/>
    <n v="1.2756670340913065E-2"/>
    <n v="0.84"/>
    <n v="0"/>
    <n v="34.999260685308073"/>
  </r>
  <r>
    <x v="5"/>
    <x v="3"/>
    <x v="3"/>
    <n v="0.95"/>
    <x v="3"/>
    <s v="Late"/>
    <n v="1"/>
    <n v="3.5903999999999301"/>
    <x v="2"/>
    <d v="2024-01-22T00:00:00"/>
    <n v="73.004982404946801"/>
    <d v="2024-02-14T00:00:00"/>
    <d v="2024-02-18T00:00:00"/>
    <n v="1022.06975366925"/>
    <n v="4"/>
    <s v="Late"/>
    <n v="73.004982404946432"/>
    <n v="6.2347361489667403E-3"/>
    <n v="9.7840680287229016E-4"/>
    <n v="0.95"/>
    <n v="0"/>
    <n v="28.654046927065501"/>
  </r>
  <r>
    <x v="6"/>
    <x v="1"/>
    <x v="1"/>
    <n v="0.84"/>
    <x v="2"/>
    <s v="Late"/>
    <n v="1"/>
    <n v="574.22450000000003"/>
    <x v="1"/>
    <d v="2022-10-06T00:00:00"/>
    <n v="23.690765518698399"/>
    <d v="2022-10-28T00:00:00"/>
    <d v="2022-11-01T00:00:00"/>
    <n v="142.14459311218999"/>
    <n v="4"/>
    <s v="Late"/>
    <n v="23.690765518698331"/>
    <n v="0.65018238185092536"/>
    <n v="7.0350899609015255E-3"/>
    <n v="0.84"/>
    <n v="0"/>
    <n v="38.414700335845552"/>
  </r>
  <r>
    <x v="7"/>
    <x v="5"/>
    <x v="0"/>
    <n v="0.69"/>
    <x v="1"/>
    <s v="Late"/>
    <n v="1"/>
    <n v="-89.859200000000101"/>
    <x v="2"/>
    <d v="2023-09-20T00:00:00"/>
    <n v="6.58236038031127"/>
    <d v="2023-10-08T00:00:00"/>
    <d v="2023-10-13T00:00:00"/>
    <n v="52.658883042490103"/>
    <n v="5"/>
    <s v="Late"/>
    <n v="6.5823603803112629"/>
    <n v="0"/>
    <n v="1.8990148332487543E-2"/>
    <n v="0.69"/>
    <n v="0"/>
    <n v="21.269704449974626"/>
  </r>
  <r>
    <x v="8"/>
    <x v="0"/>
    <x v="2"/>
    <n v="0.61"/>
    <x v="3"/>
    <s v="Late"/>
    <n v="1"/>
    <n v="354.73950000000002"/>
    <x v="0"/>
    <d v="2021-09-26T00:00:00"/>
    <n v="52.3605033421115"/>
    <d v="2021-10-07T00:00:00"/>
    <d v="2021-10-12T00:00:00"/>
    <n v="418.884026736892"/>
    <n v="5"/>
    <s v="Late"/>
    <n v="52.3605033421115"/>
    <n v="0.28976315500357575"/>
    <n v="2.3872956144687669E-3"/>
    <n v="0.61"/>
    <n v="0"/>
    <n v="24.166881968505578"/>
  </r>
  <r>
    <x v="9"/>
    <x v="0"/>
    <x v="2"/>
    <n v="0.94"/>
    <x v="0"/>
    <s v="On Time"/>
    <n v="0"/>
    <n v="82.4879999999999"/>
    <x v="3"/>
    <d v="2021-07-12T00:00:00"/>
    <n v="36.3204208225402"/>
    <d v="2021-08-02T00:00:00"/>
    <d v="2021-08-02T00:00:00"/>
    <n v="581.12673316064399"/>
    <n v="0"/>
    <s v="On Time"/>
    <n v="36.32042082254025"/>
    <n v="0.1159112370160529"/>
    <n v="1.7207950399410804E-3"/>
    <n v="0.94"/>
    <n v="1"/>
    <n v="50.569848591519296"/>
  </r>
  <r>
    <x v="0"/>
    <x v="1"/>
    <x v="2"/>
    <n v="0.61"/>
    <x v="2"/>
    <s v="Late"/>
    <n v="1"/>
    <n v="419.51600000000002"/>
    <x v="3"/>
    <d v="2021-08-15T00:00:00"/>
    <n v="60.9699571628393"/>
    <d v="2021-09-03T00:00:00"/>
    <d v="2021-09-07T00:00:00"/>
    <n v="609.69957162839296"/>
    <n v="4"/>
    <s v="Late"/>
    <n v="60.969957162839293"/>
    <n v="0.21627256211605997"/>
    <n v="1.6401520462433457E-3"/>
    <n v="0.61"/>
    <n v="0"/>
    <n v="22.6746558037085"/>
  </r>
  <r>
    <x v="1"/>
    <x v="2"/>
    <x v="1"/>
    <n v="0.94"/>
    <x v="2"/>
    <s v="Late"/>
    <n v="1"/>
    <n v="405.38720000000001"/>
    <x v="5"/>
    <d v="2022-09-04T00:00:00"/>
    <n v="61.616017894560997"/>
    <d v="2022-09-19T00:00:00"/>
    <d v="2022-09-25T00:00:00"/>
    <n v="1232.3203578912101"/>
    <n v="6"/>
    <s v="Late"/>
    <n v="61.6160178945605"/>
    <n v="0.35067271773536124"/>
    <n v="8.114773026319513E-4"/>
    <n v="0.94"/>
    <n v="0"/>
    <n v="35.23779867378618"/>
  </r>
  <r>
    <x v="2"/>
    <x v="0"/>
    <x v="2"/>
    <n v="0.81"/>
    <x v="1"/>
    <s v="Late"/>
    <n v="1"/>
    <n v="406.56849999999997"/>
    <x v="1"/>
    <d v="2023-01-30T00:00:00"/>
    <n v="55.918839904022398"/>
    <d v="2023-02-22T00:00:00"/>
    <d v="2023-02-22T00:00:00"/>
    <n v="671.02607884826898"/>
    <n v="0"/>
    <s v="On Time"/>
    <n v="55.918839904022413"/>
    <n v="0.40045416557295332"/>
    <n v="1.4902550459981719E-3"/>
    <n v="0.81"/>
    <n v="0"/>
    <n v="32.353790962839014"/>
  </r>
  <r>
    <x v="3"/>
    <x v="6"/>
    <x v="2"/>
    <n v="0.97"/>
    <x v="0"/>
    <s v="Late"/>
    <n v="1"/>
    <n v="134.15079999999901"/>
    <x v="4"/>
    <d v="2023-05-23T00:00:00"/>
    <n v="6.9760143163672304"/>
    <d v="2023-06-08T00:00:00"/>
    <d v="2023-06-07T00:00:00"/>
    <n v="76.736157480039495"/>
    <n v="-1"/>
    <s v="On Time"/>
    <n v="6.9760143163672268"/>
    <n v="0.11174942155545614"/>
    <n v="1.3031666333567962E-2"/>
    <n v="0.97"/>
    <n v="0"/>
    <n v="31.725938421116162"/>
  </r>
  <r>
    <x v="4"/>
    <x v="4"/>
    <x v="1"/>
    <n v="0.91"/>
    <x v="0"/>
    <s v="Late"/>
    <n v="1"/>
    <n v="518.14239999999995"/>
    <x v="4"/>
    <d v="2021-04-12T00:00:00"/>
    <n v="30.2644963829745"/>
    <d v="2021-04-24T00:00:00"/>
    <d v="2021-04-21T00:00:00"/>
    <n v="332.90946021271901"/>
    <n v="-3"/>
    <s v="On Time"/>
    <n v="30.264496382974457"/>
    <n v="0.65725552754742178"/>
    <n v="3.0038197153094731E-3"/>
    <n v="0.91"/>
    <n v="0"/>
    <n v="40.535225142407718"/>
  </r>
  <r>
    <x v="5"/>
    <x v="3"/>
    <x v="2"/>
    <n v="0.99"/>
    <x v="2"/>
    <s v="Late"/>
    <n v="1"/>
    <n v="156.83999999999901"/>
    <x v="2"/>
    <d v="2022-10-22T00:00:00"/>
    <n v="55.468910649510697"/>
    <d v="2022-11-04T00:00:00"/>
    <d v="2022-11-09T00:00:00"/>
    <n v="665.62692779412896"/>
    <n v="5"/>
    <s v="Late"/>
    <n v="55.468910649510747"/>
    <n v="0.29096170970614244"/>
    <n v="1.5023430667295494E-3"/>
    <n v="0.99"/>
    <n v="0"/>
    <n v="35.564304486124733"/>
  </r>
  <r>
    <x v="6"/>
    <x v="0"/>
    <x v="0"/>
    <n v="0.75"/>
    <x v="3"/>
    <s v="On Time"/>
    <n v="0"/>
    <n v="47.066399999999902"/>
    <x v="0"/>
    <d v="2023-03-04T00:00:00"/>
    <n v="22.5561557887033"/>
    <d v="2023-03-18T00:00:00"/>
    <d v="2023-03-23T00:00:00"/>
    <n v="225.56155788703299"/>
    <n v="5"/>
    <s v="Late"/>
    <n v="22.5561557887033"/>
    <n v="0.16216015082357632"/>
    <n v="4.4333795588556166E-3"/>
    <n v="0.75"/>
    <n v="1"/>
    <n v="45.876204403237189"/>
  </r>
  <r>
    <x v="7"/>
    <x v="1"/>
    <x v="1"/>
    <n v="0.8"/>
    <x v="3"/>
    <s v="On Time"/>
    <n v="0"/>
    <n v="152.27749999999901"/>
    <x v="1"/>
    <d v="2023-03-21T00:00:00"/>
    <n v="45.477126087153898"/>
    <d v="2023-04-05T00:00:00"/>
    <d v="2023-04-03T00:00:00"/>
    <n v="409.29413478438499"/>
    <n v="-2"/>
    <s v="On Time"/>
    <n v="45.477126087153891"/>
    <n v="0.1615115172181541"/>
    <n v="2.4432307111529883E-3"/>
    <n v="0.8"/>
    <n v="1"/>
    <n v="47.303527265697667"/>
  </r>
  <r>
    <x v="8"/>
    <x v="2"/>
    <x v="2"/>
    <n v="0.62"/>
    <x v="3"/>
    <s v="Late"/>
    <n v="1"/>
    <n v="157.31439999999901"/>
    <x v="2"/>
    <d v="2021-07-24T00:00:00"/>
    <n v="63.864206918313798"/>
    <d v="2021-08-06T00:00:00"/>
    <d v="2021-08-05T00:00:00"/>
    <n v="702.50627610145204"/>
    <n v="-1"/>
    <s v="On Time"/>
    <n v="63.864206918313819"/>
    <n v="0.29512992032033769"/>
    <n v="1.4234748272278575E-3"/>
    <n v="0.62"/>
    <n v="0"/>
    <n v="24.545302651223587"/>
  </r>
  <r>
    <x v="9"/>
    <x v="0"/>
    <x v="2"/>
    <n v="0.66"/>
    <x v="1"/>
    <s v="On Time"/>
    <n v="0"/>
    <n v="275.599999999999"/>
    <x v="0"/>
    <d v="2021-04-26T00:00:00"/>
    <n v="14.7547223512609"/>
    <d v="2021-05-18T00:00:00"/>
    <d v="2021-05-22T00:00:00"/>
    <n v="177.056668215131"/>
    <n v="4"/>
    <s v="Late"/>
    <n v="14.754722351260916"/>
    <n v="0.29757277360283246"/>
    <n v="5.6479092828345765E-3"/>
    <n v="0.66"/>
    <n v="1"/>
    <n v="45.92089275054169"/>
  </r>
  <r>
    <x v="5"/>
    <x v="3"/>
    <x v="2"/>
    <n v="0.89"/>
    <x v="2"/>
    <s v="Late"/>
    <n v="1"/>
    <n v="597.90249999999901"/>
    <x v="3"/>
    <d v="2021-10-19T00:00:00"/>
    <n v="71.751490624731304"/>
    <d v="2021-10-30T00:00:00"/>
    <d v="2021-10-30T00:00:00"/>
    <n v="717.51490624731298"/>
    <n v="0"/>
    <s v="On Time"/>
    <n v="71.751490624731304"/>
    <n v="0.43456874919368105"/>
    <n v="1.3936992685352242E-3"/>
    <n v="0.89"/>
    <n v="0"/>
    <n v="35.433185961929681"/>
  </r>
  <r>
    <x v="6"/>
    <x v="0"/>
    <x v="3"/>
    <n v="0.63"/>
    <x v="0"/>
    <s v="Late"/>
    <n v="1"/>
    <n v="377.82"/>
    <x v="2"/>
    <d v="2021-08-09T00:00:00"/>
    <n v="57.171095724325397"/>
    <d v="2021-08-22T00:00:00"/>
    <d v="2021-08-23T00:00:00"/>
    <n v="457.36876579460301"/>
    <n v="1"/>
    <s v="Late"/>
    <n v="57.171095724325376"/>
    <n v="0.36109412034559218"/>
    <n v="2.1864195257467233E-3"/>
    <n v="0.63"/>
    <n v="0"/>
    <n v="26.187474992684244"/>
  </r>
  <r>
    <x v="7"/>
    <x v="1"/>
    <x v="3"/>
    <n v="0.84"/>
    <x v="0"/>
    <s v="Late"/>
    <n v="1"/>
    <n v="361.38999999999902"/>
    <x v="2"/>
    <d v="2023-05-01T00:00:00"/>
    <n v="61.923694923069903"/>
    <d v="2023-05-23T00:00:00"/>
    <d v="2023-05-24T00:00:00"/>
    <n v="371.54216953841899"/>
    <n v="1"/>
    <s v="Late"/>
    <n v="61.923694923069831"/>
    <n v="0.31759102213707779"/>
    <n v="2.6914845258139558E-3"/>
    <n v="0.84"/>
    <n v="0"/>
    <n v="31.632564978515976"/>
  </r>
  <r>
    <x v="8"/>
    <x v="0"/>
    <x v="2"/>
    <n v="0.7"/>
    <x v="1"/>
    <s v="Late"/>
    <n v="1"/>
    <n v="162.864"/>
    <x v="0"/>
    <d v="2022-06-15T00:00:00"/>
    <n v="15.367791435911"/>
    <d v="2022-07-05T00:00:00"/>
    <d v="2022-07-11T00:00:00"/>
    <n v="169.04570579502101"/>
    <n v="6"/>
    <s v="Late"/>
    <n v="15.367791435911"/>
    <n v="0.89513256826276222"/>
    <n v="5.9155599090613131E-3"/>
    <n v="0.7"/>
    <n v="0"/>
    <n v="39.080118162527086"/>
  </r>
  <r>
    <x v="9"/>
    <x v="1"/>
    <x v="2"/>
    <n v="0.75"/>
    <x v="0"/>
    <s v="On Time"/>
    <n v="0"/>
    <n v="127.58499999999999"/>
    <x v="4"/>
    <d v="2022-05-01T00:00:00"/>
    <n v="71.562130990147494"/>
    <d v="2022-05-16T00:00:00"/>
    <d v="2022-05-18T00:00:00"/>
    <n v="1073.4319648522101"/>
    <n v="2"/>
    <s v="Late"/>
    <n v="71.562130990147338"/>
    <n v="0.26722449706248885"/>
    <n v="9.3159141216525988E-4"/>
    <n v="0.75"/>
    <n v="1"/>
    <n v="47.872437683614741"/>
  </r>
  <r>
    <x v="0"/>
    <x v="4"/>
    <x v="2"/>
    <n v="0.71"/>
    <x v="0"/>
    <s v="Late"/>
    <n v="1"/>
    <n v="39.946199999999898"/>
    <x v="3"/>
    <d v="2023-12-20T00:00:00"/>
    <n v="36.234753789012103"/>
    <d v="2024-01-10T00:00:00"/>
    <d v="2024-01-16T00:00:00"/>
    <n v="217.40852273407299"/>
    <n v="6"/>
    <s v="Late"/>
    <n v="36.234753789012167"/>
    <n v="6.6265969627226182E-2"/>
    <n v="4.5996356878022088E-3"/>
    <n v="0.71"/>
    <n v="0"/>
    <n v="22.763308463178593"/>
  </r>
  <r>
    <x v="1"/>
    <x v="5"/>
    <x v="3"/>
    <n v="0.74"/>
    <x v="0"/>
    <s v="Late"/>
    <n v="1"/>
    <n v="495.861999999999"/>
    <x v="0"/>
    <d v="2022-10-11T00:00:00"/>
    <n v="22.3611471363322"/>
    <d v="2022-11-02T00:00:00"/>
    <d v="2022-11-04T00:00:00"/>
    <n v="313.05605990865098"/>
    <n v="2"/>
    <s v="Late"/>
    <n v="22.361147136332214"/>
    <n v="0.74890955004591342"/>
    <n v="3.1943160604902448E-3"/>
    <n v="0.74"/>
    <n v="0"/>
    <n v="37.274020482732979"/>
  </r>
  <r>
    <x v="2"/>
    <x v="1"/>
    <x v="3"/>
    <n v="0.88"/>
    <x v="3"/>
    <s v="Late"/>
    <n v="1"/>
    <n v="26.941600000000001"/>
    <x v="3"/>
    <d v="2021-10-28T00:00:00"/>
    <n v="64.184071292115306"/>
    <d v="2021-11-20T00:00:00"/>
    <d v="2021-11-17T00:00:00"/>
    <n v="641.840712921153"/>
    <n v="-3"/>
    <s v="On Time"/>
    <n v="64.184071292115306"/>
    <n v="0.19186222062702604"/>
    <n v="1.5580189599515872E-3"/>
    <n v="0.88"/>
    <n v="0"/>
    <n v="30.283984981339067"/>
  </r>
  <r>
    <x v="3"/>
    <x v="1"/>
    <x v="2"/>
    <n v="0.72"/>
    <x v="1"/>
    <s v="On Time"/>
    <n v="0"/>
    <n v="217.20159999999899"/>
    <x v="3"/>
    <d v="2022-11-01T00:00:00"/>
    <n v="13.1970369878872"/>
    <d v="2022-11-11T00:00:00"/>
    <d v="2022-11-13T00:00:00"/>
    <n v="171.561480842534"/>
    <n v="2"/>
    <s v="Late"/>
    <n v="13.19703698788723"/>
    <n v="0.43850621495206143"/>
    <n v="5.8288142250173284E-3"/>
    <n v="0.72"/>
    <n v="1"/>
    <n v="50.544988725791754"/>
  </r>
  <r>
    <x v="4"/>
    <x v="6"/>
    <x v="0"/>
    <n v="0.82"/>
    <x v="2"/>
    <s v="Late"/>
    <n v="1"/>
    <n v="449.04880000000003"/>
    <x v="2"/>
    <d v="2022-04-28T00:00:00"/>
    <n v="63.935522596388402"/>
    <d v="2022-05-19T00:00:00"/>
    <d v="2022-05-23T00:00:00"/>
    <n v="703.29074856027296"/>
    <n v="4"/>
    <s v="Late"/>
    <n v="63.935522596388452"/>
    <n v="0.60563696373910114"/>
    <n v="1.4218870389623769E-3"/>
    <n v="0.82"/>
    <n v="0"/>
    <n v="36.75539588595089"/>
  </r>
  <r>
    <x v="5"/>
    <x v="1"/>
    <x v="1"/>
    <n v="0.79"/>
    <x v="3"/>
    <s v="Late"/>
    <n v="1"/>
    <n v="2.4249999999999798"/>
    <x v="1"/>
    <d v="2023-04-09T00:00:00"/>
    <n v="14.0172127870939"/>
    <d v="2023-04-25T00:00:00"/>
    <d v="2023-04-24T00:00:00"/>
    <n v="112.137702296751"/>
    <n v="-1"/>
    <s v="On Time"/>
    <n v="14.017212787093875"/>
    <n v="1.35078679849602E-2"/>
    <n v="8.9176073659302472E-3"/>
    <n v="0.79"/>
    <n v="0"/>
    <n v="24.237685580677113"/>
  </r>
  <r>
    <x v="6"/>
    <x v="1"/>
    <x v="3"/>
    <n v="0.86"/>
    <x v="1"/>
    <s v="On Time"/>
    <n v="0"/>
    <n v="49.001599999999897"/>
    <x v="3"/>
    <d v="2023-04-12T00:00:00"/>
    <n v="6.3039926307939602"/>
    <d v="2023-05-03T00:00:00"/>
    <d v="2023-05-03T00:00:00"/>
    <n v="69.343918938733495"/>
    <n v="0"/>
    <s v="On Time"/>
    <n v="6.303992630793954"/>
    <n v="0.13416950147526843"/>
    <n v="1.4420875187102082E-2"/>
    <n v="0.86"/>
    <n v="1"/>
    <n v="48.916016285118431"/>
  </r>
  <r>
    <x v="7"/>
    <x v="2"/>
    <x v="3"/>
    <n v="0.97"/>
    <x v="1"/>
    <s v="Late"/>
    <n v="1"/>
    <n v="53.842399999999998"/>
    <x v="5"/>
    <d v="2021-12-05T00:00:00"/>
    <n v="56.336485870664397"/>
    <d v="2021-12-18T00:00:00"/>
    <d v="2021-12-21T00:00:00"/>
    <n v="619.70134457730899"/>
    <n v="3"/>
    <s v="Late"/>
    <n v="56.336485870664454"/>
    <n v="3.4868353225023484E-2"/>
    <n v="1.6136805394251455E-3"/>
    <n v="0.97"/>
    <n v="0"/>
    <n v="29.845777480683221"/>
  </r>
  <r>
    <x v="8"/>
    <x v="5"/>
    <x v="0"/>
    <n v="0.89"/>
    <x v="1"/>
    <s v="Late"/>
    <n v="1"/>
    <n v="169.3374"/>
    <x v="2"/>
    <d v="2023-09-11T00:00:00"/>
    <n v="30.976245500883401"/>
    <d v="2023-09-22T00:00:00"/>
    <d v="2023-09-21T00:00:00"/>
    <n v="433.66743701236697"/>
    <n v="-1"/>
    <s v="On Time"/>
    <n v="30.976245500883355"/>
    <n v="0.45985931901539606"/>
    <n v="2.3059144280908571E-3"/>
    <n v="0.89"/>
    <n v="0"/>
    <n v="35.96636381315065"/>
  </r>
  <r>
    <x v="9"/>
    <x v="4"/>
    <x v="0"/>
    <n v="0.68"/>
    <x v="2"/>
    <s v="Late"/>
    <n v="1"/>
    <n v="281.8528"/>
    <x v="4"/>
    <d v="2021-09-03T00:00:00"/>
    <n v="66.863388685687198"/>
    <d v="2021-09-25T00:00:00"/>
    <d v="2021-09-25T00:00:00"/>
    <n v="802.36066422824695"/>
    <n v="0"/>
    <s v="On Time"/>
    <n v="66.863388685687241"/>
    <n v="0.2423054491835028"/>
    <n v="1.2463223143695024E-3"/>
    <n v="0.68"/>
    <n v="0"/>
    <n v="25.283498653101145"/>
  </r>
  <r>
    <x v="3"/>
    <x v="3"/>
    <x v="2"/>
    <n v="0.61"/>
    <x v="3"/>
    <s v="Late"/>
    <n v="1"/>
    <n v="364.211199999999"/>
    <x v="1"/>
    <d v="2022-06-25T00:00:00"/>
    <n v="67.190221519655296"/>
    <d v="2022-07-08T00:00:00"/>
    <d v="2022-07-11T00:00:00"/>
    <n v="739.092436716208"/>
    <n v="3"/>
    <s v="Late"/>
    <n v="67.190221519655267"/>
    <n v="0.19721511793122992"/>
    <n v="1.3530107336005301E-3"/>
    <n v="0.61"/>
    <n v="0"/>
    <n v="22.284892680632616"/>
  </r>
  <r>
    <x v="4"/>
    <x v="6"/>
    <x v="2"/>
    <n v="0.7"/>
    <x v="0"/>
    <s v="Late"/>
    <n v="1"/>
    <n v="543.57279999999901"/>
    <x v="5"/>
    <d v="2023-01-12T00:00:00"/>
    <n v="17.664915219210801"/>
    <d v="2023-01-29T00:00:00"/>
    <d v="2023-01-27T00:00:00"/>
    <n v="158.98423697289701"/>
    <n v="-2"/>
    <s v="On Time"/>
    <n v="17.66491521921078"/>
    <n v="0.6679662923115629"/>
    <n v="6.2899317507211479E-3"/>
    <n v="0.7"/>
    <n v="0"/>
    <n v="34.548023798752894"/>
  </r>
  <r>
    <x v="5"/>
    <x v="2"/>
    <x v="1"/>
    <n v="0.83"/>
    <x v="1"/>
    <s v="Late"/>
    <n v="1"/>
    <n v="11.349"/>
    <x v="5"/>
    <d v="2023-02-15T00:00:00"/>
    <n v="18.928856108000801"/>
    <d v="2023-03-11T00:00:00"/>
    <d v="2023-03-14T00:00:00"/>
    <n v="132.501992756005"/>
    <n v="3"/>
    <s v="Late"/>
    <n v="18.928856108000712"/>
    <n v="1.5240328253223917E-2"/>
    <n v="7.547056306099819E-3"/>
    <n v="0.83"/>
    <n v="0"/>
    <n v="25.431218254247472"/>
  </r>
  <r>
    <x v="6"/>
    <x v="7"/>
    <x v="1"/>
    <n v="0.62"/>
    <x v="0"/>
    <s v="Late"/>
    <n v="1"/>
    <n v="-29.634999999999899"/>
    <x v="4"/>
    <d v="2022-07-30T00:00:00"/>
    <n v="37.823956834444999"/>
    <d v="2022-08-13T00:00:00"/>
    <d v="2022-08-17T00:00:00"/>
    <n v="378.23956834444999"/>
    <n v="4"/>
    <s v="Late"/>
    <n v="37.823956834444999"/>
    <n v="0"/>
    <n v="2.6438270442645331E-3"/>
    <n v="0.62"/>
    <n v="0"/>
    <n v="18.679314811327934"/>
  </r>
  <r>
    <x v="7"/>
    <x v="5"/>
    <x v="2"/>
    <n v="0.79"/>
    <x v="2"/>
    <s v="On Time"/>
    <n v="0"/>
    <n v="72.273600000000002"/>
    <x v="1"/>
    <d v="2022-01-24T00:00:00"/>
    <n v="5.0641854487268896"/>
    <d v="2022-02-03T00:00:00"/>
    <d v="2022-02-07T00:00:00"/>
    <n v="35.4492981410882"/>
    <n v="4"/>
    <s v="Late"/>
    <n v="5.064185448726886"/>
    <n v="0.34171333253902059"/>
    <n v="2.8209303214410626E-2"/>
    <n v="0.79"/>
    <n v="1"/>
    <n v="51.380545747212736"/>
  </r>
  <r>
    <x v="8"/>
    <x v="4"/>
    <x v="2"/>
    <n v="0.83"/>
    <x v="0"/>
    <s v="On Time"/>
    <n v="0"/>
    <n v="107.26519999999999"/>
    <x v="2"/>
    <d v="2021-06-24T00:00:00"/>
    <n v="39.2270759290355"/>
    <d v="2021-07-11T00:00:00"/>
    <d v="2021-07-11T00:00:00"/>
    <n v="196.13537964517701"/>
    <n v="0"/>
    <s v="On Time"/>
    <n v="39.227075929035401"/>
    <n v="0.29603041519523371"/>
    <n v="5.0985192055052579E-3"/>
    <n v="0.83"/>
    <n v="1"/>
    <n v="50.973563880069825"/>
  </r>
  <r>
    <x v="9"/>
    <x v="4"/>
    <x v="3"/>
    <n v="0.73"/>
    <x v="1"/>
    <s v="On Time"/>
    <n v="0"/>
    <n v="132.78299999999899"/>
    <x v="6"/>
    <d v="2023-02-14T00:00:00"/>
    <n v="50.5384348480762"/>
    <d v="2023-03-07T00:00:00"/>
    <d v="2023-03-09T00:00:00"/>
    <n v="758.07652272114399"/>
    <n v="2"/>
    <s v="Late"/>
    <n v="50.538434848076264"/>
    <n v="0.17925892325574669"/>
    <n v="1.3191280431828474E-3"/>
    <n v="0.73"/>
    <n v="1"/>
    <n v="45.52475230641042"/>
  </r>
  <r>
    <x v="0"/>
    <x v="7"/>
    <x v="2"/>
    <n v="0.9"/>
    <x v="2"/>
    <s v="Late"/>
    <n v="1"/>
    <n v="469.11999999999898"/>
    <x v="1"/>
    <d v="2021-04-19T00:00:00"/>
    <n v="4.8905124781593203"/>
    <d v="2021-05-08T00:00:00"/>
    <d v="2021-05-06T00:00:00"/>
    <n v="44.0146123034339"/>
    <n v="-2"/>
    <s v="On Time"/>
    <n v="4.8905124781593221"/>
    <n v="0.52488363766559198"/>
    <n v="2.2719727555614133E-2"/>
    <n v="0.9"/>
    <n v="0"/>
    <n v="38.179264579980263"/>
  </r>
  <r>
    <x v="1"/>
    <x v="3"/>
    <x v="3"/>
    <n v="0.64"/>
    <x v="3"/>
    <s v="Late"/>
    <n v="1"/>
    <n v="515.76299999999901"/>
    <x v="4"/>
    <d v="2023-06-14T00:00:00"/>
    <n v="22.2368965102192"/>
    <d v="2023-07-05T00:00:00"/>
    <d v="2023-07-10T00:00:00"/>
    <n v="244.60586161241099"/>
    <n v="5"/>
    <s v="Late"/>
    <n v="22.236896510219182"/>
    <n v="0.67995696900423541"/>
    <n v="4.0882094705667563E-3"/>
    <n v="0.64"/>
    <n v="0"/>
    <n v="32.921785664201714"/>
  </r>
  <r>
    <x v="2"/>
    <x v="1"/>
    <x v="0"/>
    <n v="0.63"/>
    <x v="1"/>
    <s v="On Time"/>
    <n v="0"/>
    <n v="42.971599999999903"/>
    <x v="5"/>
    <d v="2023-08-29T00:00:00"/>
    <n v="33.798925038965201"/>
    <d v="2023-09-13T00:00:00"/>
    <d v="2023-09-12T00:00:00"/>
    <n v="371.78817542861799"/>
    <n v="-1"/>
    <s v="On Time"/>
    <n v="33.798925038965272"/>
    <n v="0.25016708233491391"/>
    <n v="2.689703616440046E-3"/>
    <n v="0.63"/>
    <n v="1"/>
    <n v="43.984032755191485"/>
  </r>
  <r>
    <x v="3"/>
    <x v="2"/>
    <x v="2"/>
    <n v="0.88"/>
    <x v="2"/>
    <s v="Late"/>
    <n v="1"/>
    <n v="-82.949999999999903"/>
    <x v="2"/>
    <d v="2021-10-29T00:00:00"/>
    <n v="42.697914314002198"/>
    <d v="2021-11-12T00:00:00"/>
    <d v="2021-11-11T00:00:00"/>
    <n v="256.18748588401297"/>
    <n v="-1"/>
    <s v="On Time"/>
    <n v="42.697914314002162"/>
    <n v="0"/>
    <n v="3.903391286070635E-3"/>
    <n v="0.88"/>
    <n v="0"/>
    <n v="26.51710173858212"/>
  </r>
  <r>
    <x v="4"/>
    <x v="0"/>
    <x v="0"/>
    <n v="0.79"/>
    <x v="3"/>
    <s v="Late"/>
    <n v="1"/>
    <n v="339.43849999999901"/>
    <x v="1"/>
    <d v="2022-06-19T00:00:00"/>
    <n v="10.339464407673599"/>
    <d v="2022-07-02T00:00:00"/>
    <d v="2022-07-06T00:00:00"/>
    <n v="144.75250170743101"/>
    <n v="4"/>
    <s v="Late"/>
    <n v="10.339464407673644"/>
    <n v="0.29211863972836388"/>
    <n v="6.908343470437334E-3"/>
    <n v="0.79"/>
    <n v="0"/>
    <n v="29.749623098680399"/>
  </r>
  <r>
    <x v="5"/>
    <x v="6"/>
    <x v="1"/>
    <n v="0.87"/>
    <x v="3"/>
    <s v="Late"/>
    <n v="1"/>
    <n v="258.765999999999"/>
    <x v="6"/>
    <d v="2023-02-06T00:00:00"/>
    <n v="26.437772677025599"/>
    <d v="2023-02-26T00:00:00"/>
    <d v="2023-02-28T00:00:00"/>
    <n v="396.56659015538401"/>
    <n v="2"/>
    <s v="Late"/>
    <n v="26.437772677025599"/>
    <n v="0.13793746794984504"/>
    <n v="2.5216445984725458E-3"/>
    <n v="0.87"/>
    <n v="0"/>
    <n v="28.934398696951082"/>
  </r>
  <r>
    <x v="6"/>
    <x v="0"/>
    <x v="1"/>
    <n v="0.77"/>
    <x v="1"/>
    <s v="Late"/>
    <n v="1"/>
    <n v="33.197400000000002"/>
    <x v="6"/>
    <d v="2023-06-08T00:00:00"/>
    <n v="71.486406292141297"/>
    <d v="2023-06-19T00:00:00"/>
    <d v="2023-06-19T00:00:00"/>
    <n v="1000.80968808997"/>
    <n v="0"/>
    <s v="On Time"/>
    <n v="71.486406292140714"/>
    <n v="0.38887678434624928"/>
    <n v="9.9919096697443526E-4"/>
    <n v="0.77"/>
    <n v="0"/>
    <n v="30.90751141593422"/>
  </r>
  <r>
    <x v="7"/>
    <x v="7"/>
    <x v="2"/>
    <n v="0.7"/>
    <x v="0"/>
    <s v="Late"/>
    <n v="1"/>
    <n v="456.635999999999"/>
    <x v="3"/>
    <d v="2022-02-15T00:00:00"/>
    <n v="3.6978616405109199"/>
    <d v="2022-02-25T00:00:00"/>
    <d v="2022-02-28T00:00:00"/>
    <n v="48.072201326642002"/>
    <n v="3"/>
    <s v="Late"/>
    <n v="3.697861640510923"/>
    <n v="0.72294169426694965"/>
    <n v="2.0802043018691384E-2"/>
    <n v="0.7"/>
    <n v="0"/>
    <n v="36.082895175899729"/>
  </r>
  <r>
    <x v="8"/>
    <x v="4"/>
    <x v="2"/>
    <n v="0.92"/>
    <x v="3"/>
    <s v="Late"/>
    <n v="1"/>
    <n v="529.98839999999996"/>
    <x v="3"/>
    <d v="2023-03-04T00:00:00"/>
    <n v="75.854513479770404"/>
    <d v="2023-03-18T00:00:00"/>
    <d v="2023-03-15T00:00:00"/>
    <n v="758.54513479770401"/>
    <n v="-3"/>
    <s v="On Time"/>
    <n v="75.854513479770404"/>
    <n v="0.36763942024352964"/>
    <n v="1.3183131156284979E-3"/>
    <n v="0.92"/>
    <n v="0"/>
    <n v="34.992337798339449"/>
  </r>
  <r>
    <x v="9"/>
    <x v="3"/>
    <x v="0"/>
    <n v="0.91"/>
    <x v="3"/>
    <s v="Late"/>
    <n v="1"/>
    <n v="193.57749999999999"/>
    <x v="0"/>
    <d v="2022-04-11T00:00:00"/>
    <n v="33.664447824125901"/>
    <d v="2022-04-26T00:00:00"/>
    <d v="2022-04-29T00:00:00"/>
    <n v="269.31558259300698"/>
    <n v="3"/>
    <s v="Late"/>
    <n v="33.664447824125872"/>
    <n v="0.38632247506623224"/>
    <n v="3.7131160045470236E-3"/>
    <n v="0.91"/>
    <n v="0"/>
    <n v="35.137842981461063"/>
  </r>
  <r>
    <x v="3"/>
    <x v="4"/>
    <x v="3"/>
    <n v="0.87"/>
    <x v="0"/>
    <s v="Late"/>
    <n v="1"/>
    <n v="357.9828"/>
    <x v="4"/>
    <d v="2024-01-04T00:00:00"/>
    <n v="10.1871396885044"/>
    <d v="2024-01-14T00:00:00"/>
    <d v="2024-01-17T00:00:00"/>
    <n v="91.684257196539605"/>
    <n v="3"/>
    <s v="Late"/>
    <n v="10.1871396885044"/>
    <n v="0.77274238294117281"/>
    <n v="1.0906997892302742E-2"/>
    <n v="0.87"/>
    <n v="0"/>
    <n v="41.882057595592535"/>
  </r>
  <r>
    <x v="4"/>
    <x v="6"/>
    <x v="1"/>
    <n v="0.71"/>
    <x v="1"/>
    <s v="Late"/>
    <n v="1"/>
    <n v="432.782499999999"/>
    <x v="1"/>
    <d v="2021-11-30T00:00:00"/>
    <n v="68.126770433720694"/>
    <d v="2021-12-14T00:00:00"/>
    <d v="2021-12-12T00:00:00"/>
    <n v="817.52124520464804"/>
    <n v="-2"/>
    <s v="On Time"/>
    <n v="68.126770433720665"/>
    <n v="0.6101694317849371"/>
    <n v="1.2232098014158305E-3"/>
    <n v="0.71"/>
    <n v="0"/>
    <n v="33.540084929741212"/>
  </r>
  <r>
    <x v="5"/>
    <x v="4"/>
    <x v="1"/>
    <n v="0.83"/>
    <x v="2"/>
    <s v="Late"/>
    <n v="1"/>
    <n v="312.5256"/>
    <x v="1"/>
    <d v="2023-09-20T00:00:00"/>
    <n v="13.967264913373199"/>
    <d v="2023-10-05T00:00:00"/>
    <d v="2023-10-05T00:00:00"/>
    <n v="153.63991404710501"/>
    <n v="0"/>
    <s v="On Time"/>
    <n v="13.967264913373183"/>
    <n v="0.30037668475891482"/>
    <n v="6.508725328324555E-3"/>
    <n v="0.83"/>
    <n v="0"/>
    <n v="31.10279545502803"/>
  </r>
  <r>
    <x v="6"/>
    <x v="4"/>
    <x v="3"/>
    <n v="0.74"/>
    <x v="3"/>
    <s v="Late"/>
    <n v="1"/>
    <n v="595.40039999999999"/>
    <x v="0"/>
    <d v="2023-02-16T00:00:00"/>
    <n v="6.7357202153938003"/>
    <d v="2023-03-08T00:00:00"/>
    <d v="2023-03-11T00:00:00"/>
    <n v="107.77152344629999"/>
    <n v="3"/>
    <s v="Late"/>
    <n v="6.7357202153937497"/>
    <n v="0.34814046107471835"/>
    <n v="9.2788889682744111E-3"/>
    <n v="0.74"/>
    <n v="0"/>
    <n v="29.441175890542603"/>
  </r>
  <r>
    <x v="7"/>
    <x v="6"/>
    <x v="0"/>
    <n v="0.64"/>
    <x v="3"/>
    <s v="On Time"/>
    <n v="0"/>
    <n v="286.47119999999899"/>
    <x v="5"/>
    <d v="2022-04-16T00:00:00"/>
    <n v="79.324355196249499"/>
    <d v="2022-05-10T00:00:00"/>
    <d v="2022-05-10T00:00:00"/>
    <n v="793.24355196249496"/>
    <n v="0"/>
    <s v="On Time"/>
    <n v="79.324355196249499"/>
    <n v="0.62364308616152442"/>
    <n v="1.2606468688286048E-3"/>
    <n v="0.64"/>
    <n v="1"/>
    <n v="51.710681129295352"/>
  </r>
  <r>
    <x v="8"/>
    <x v="2"/>
    <x v="0"/>
    <n v="0.96"/>
    <x v="1"/>
    <s v="Late"/>
    <n v="1"/>
    <n v="99.223999999999904"/>
    <x v="5"/>
    <d v="2021-09-08T00:00:00"/>
    <n v="62.107765852274497"/>
    <d v="2021-09-22T00:00:00"/>
    <d v="2021-09-21T00:00:00"/>
    <n v="683.18542437501901"/>
    <n v="-1"/>
    <s v="On Time"/>
    <n v="62.107765852274454"/>
    <n v="0.11327923427146637"/>
    <n v="1.4637314619450558E-3"/>
    <n v="0.96"/>
    <n v="0"/>
    <n v="31.109496629287676"/>
  </r>
  <r>
    <x v="9"/>
    <x v="2"/>
    <x v="2"/>
    <n v="0.65"/>
    <x v="1"/>
    <s v="On Time"/>
    <n v="0"/>
    <n v="129.197"/>
    <x v="0"/>
    <d v="2021-03-10T00:00:00"/>
    <n v="58.624647230818397"/>
    <d v="2021-03-27T00:00:00"/>
    <d v="2021-03-28T00:00:00"/>
    <n v="820.74506123145795"/>
    <n v="1"/>
    <s v="Late"/>
    <n v="58.624647230818425"/>
    <n v="0.38440390720536038"/>
    <n v="1.2184051384964598E-3"/>
    <n v="0.65"/>
    <n v="1"/>
    <n v="47.224630298262099"/>
  </r>
  <r>
    <x v="0"/>
    <x v="6"/>
    <x v="2"/>
    <n v="0.97"/>
    <x v="0"/>
    <s v="On Time"/>
    <n v="0"/>
    <n v="7.9199999999999804"/>
    <x v="5"/>
    <d v="2021-06-11T00:00:00"/>
    <n v="54.206251116014499"/>
    <d v="2021-06-21T00:00:00"/>
    <d v="2021-06-21T00:00:00"/>
    <n v="596.26876227616003"/>
    <n v="0"/>
    <s v="On Time"/>
    <n v="54.206251116014549"/>
    <n v="3.5928143712574759E-2"/>
    <n v="1.6770960735602867E-3"/>
    <n v="0.97"/>
    <n v="1"/>
    <n v="49.868875756458301"/>
  </r>
  <r>
    <x v="1"/>
    <x v="3"/>
    <x v="2"/>
    <n v="0.77"/>
    <x v="0"/>
    <s v="Late"/>
    <n v="1"/>
    <n v="599.34099999999899"/>
    <x v="3"/>
    <d v="2024-02-16T00:00:00"/>
    <n v="38.134833823214201"/>
    <d v="2024-03-09T00:00:00"/>
    <d v="2024-03-08T00:00:00"/>
    <n v="266.94383676249902"/>
    <n v="-1"/>
    <s v="On Time"/>
    <n v="38.134833823214144"/>
    <n v="0.49612637319429059"/>
    <n v="3.7461063425476421E-3"/>
    <n v="0.77"/>
    <n v="0"/>
    <n v="33.13491065416224"/>
  </r>
  <r>
    <x v="2"/>
    <x v="7"/>
    <x v="1"/>
    <n v="0.67"/>
    <x v="2"/>
    <s v="Late"/>
    <n v="1"/>
    <n v="933.98559999999998"/>
    <x v="1"/>
    <d v="2022-03-10T00:00:00"/>
    <n v="47.869586339061001"/>
    <d v="2022-03-21T00:00:00"/>
    <d v="2022-03-21T00:00:00"/>
    <n v="430.82627705154903"/>
    <n v="0"/>
    <s v="On Time"/>
    <n v="47.869586339061001"/>
    <n v="0.90884194235946003"/>
    <n v="2.3211211879732873E-3"/>
    <n v="0.67"/>
    <n v="0"/>
    <n v="38.346472482828403"/>
  </r>
  <r>
    <x v="3"/>
    <x v="5"/>
    <x v="2"/>
    <n v="0.81"/>
    <x v="3"/>
    <s v="Late"/>
    <n v="1"/>
    <n v="792.22359999999901"/>
    <x v="0"/>
    <d v="2022-02-27T00:00:00"/>
    <n v="46.904529835071102"/>
    <d v="2022-03-16T00:00:00"/>
    <d v="2022-03-19T00:00:00"/>
    <n v="187.61811934028401"/>
    <n v="3"/>
    <s v="Late"/>
    <n v="46.904529835071003"/>
    <n v="0.4246314039068802"/>
    <n v="5.3299756095854184E-3"/>
    <n v="0.81"/>
    <n v="0"/>
    <n v="32.952527346425164"/>
  </r>
  <r>
    <x v="4"/>
    <x v="4"/>
    <x v="0"/>
    <n v="0.94"/>
    <x v="1"/>
    <s v="On Time"/>
    <n v="0"/>
    <n v="677.54959999999903"/>
    <x v="1"/>
    <d v="2021-07-17T00:00:00"/>
    <n v="5.98065397428116"/>
    <d v="2021-08-01T00:00:00"/>
    <d v="2021-08-05T00:00:00"/>
    <n v="89.709809614217406"/>
    <n v="4"/>
    <s v="Late"/>
    <n v="5.98065397428116"/>
    <n v="0.48798302822042272"/>
    <n v="1.1147052973363103E-2"/>
    <n v="0.94"/>
    <n v="1"/>
    <n v="58.294072153609356"/>
  </r>
  <r>
    <x v="5"/>
    <x v="3"/>
    <x v="3"/>
    <n v="0.89"/>
    <x v="1"/>
    <s v="Late"/>
    <n v="1"/>
    <n v="16.103999999999999"/>
    <x v="6"/>
    <d v="2023-08-25T00:00:00"/>
    <n v="72.204681926847499"/>
    <d v="2023-09-15T00:00:00"/>
    <d v="2023-09-12T00:00:00"/>
    <n v="1010.86554697586"/>
    <n v="-3"/>
    <s v="On Time"/>
    <n v="72.204681926847144"/>
    <n v="1.3442134715164304E-2"/>
    <n v="9.8925124413591333E-4"/>
    <n v="0.89"/>
    <n v="0"/>
    <n v="26.998520231627367"/>
  </r>
  <r>
    <x v="6"/>
    <x v="4"/>
    <x v="0"/>
    <n v="0.91"/>
    <x v="3"/>
    <s v="Late"/>
    <n v="1"/>
    <n v="293.10000000000002"/>
    <x v="3"/>
    <d v="2023-01-21T00:00:00"/>
    <n v="41.670283084050197"/>
    <d v="2023-02-08T00:00:00"/>
    <d v="2023-02-08T00:00:00"/>
    <n v="625.05424626075296"/>
    <n v="0"/>
    <s v="On Time"/>
    <n v="41.670283084050197"/>
    <n v="0.90212373037857818"/>
    <n v="1.5998611416245486E-3"/>
    <n v="0.91"/>
    <n v="0"/>
    <n v="45.390470441820305"/>
  </r>
  <r>
    <x v="7"/>
    <x v="5"/>
    <x v="1"/>
    <n v="0.86"/>
    <x v="0"/>
    <s v="Late"/>
    <n v="1"/>
    <n v="341.68959999999998"/>
    <x v="2"/>
    <d v="2021-04-19T00:00:00"/>
    <n v="15.1701547436881"/>
    <d v="2021-05-08T00:00:00"/>
    <d v="2021-05-10T00:00:00"/>
    <n v="166.871702180569"/>
    <n v="2"/>
    <s v="Late"/>
    <n v="15.170154743688091"/>
    <n v="0.18730419346124563"/>
    <n v="5.9926277908876197E-3"/>
    <n v="0.86"/>
    <n v="0"/>
    <n v="29.725862702951545"/>
  </r>
  <r>
    <x v="8"/>
    <x v="7"/>
    <x v="0"/>
    <n v="0.87"/>
    <x v="1"/>
    <s v="Late"/>
    <n v="1"/>
    <n v="616.29359999999997"/>
    <x v="3"/>
    <d v="2021-08-24T00:00:00"/>
    <n v="46.3045379163893"/>
    <d v="2021-09-10T00:00:00"/>
    <d v="2021-09-08T00:00:00"/>
    <n v="324.13176541472501"/>
    <n v="-2"/>
    <s v="On Time"/>
    <n v="46.304537916389286"/>
    <n v="0.65564990335898787"/>
    <n v="3.0851650677325773E-3"/>
    <n v="0.87"/>
    <n v="0"/>
    <n v="39.305553019211736"/>
  </r>
  <r>
    <x v="9"/>
    <x v="2"/>
    <x v="2"/>
    <n v="0.93"/>
    <x v="1"/>
    <s v="Late"/>
    <n v="1"/>
    <n v="211.2072"/>
    <x v="0"/>
    <d v="2022-06-09T00:00:00"/>
    <n v="68.656178309003593"/>
    <d v="2022-07-03T00:00:00"/>
    <d v="2022-07-05T00:00:00"/>
    <n v="892.53031801704697"/>
    <n v="2"/>
    <s v="Late"/>
    <n v="68.656178309003607"/>
    <n v="0.34859161903403801"/>
    <n v="1.1204101192010157E-3"/>
    <n v="0.93"/>
    <n v="0"/>
    <n v="34.905444684256793"/>
  </r>
  <r>
    <x v="7"/>
    <x v="3"/>
    <x v="1"/>
    <n v="0.7"/>
    <x v="3"/>
    <s v="Late"/>
    <n v="1"/>
    <n v="106.63460000000001"/>
    <x v="2"/>
    <d v="2024-03-27T00:00:00"/>
    <n v="74.418676657902395"/>
    <d v="2024-04-12T00:00:00"/>
    <d v="2024-04-18T00:00:00"/>
    <n v="1041.86147321063"/>
    <n v="6"/>
    <s v="Late"/>
    <n v="74.418676657902139"/>
    <n v="0.44820536444589781"/>
    <n v="9.5982049985817353E-4"/>
    <n v="0.7"/>
    <n v="0"/>
    <n v="29.992901903913697"/>
  </r>
  <r>
    <x v="8"/>
    <x v="1"/>
    <x v="3"/>
    <n v="0.79"/>
    <x v="0"/>
    <s v="Late"/>
    <n v="1"/>
    <n v="201.80879999999999"/>
    <x v="6"/>
    <d v="2021-07-17T00:00:00"/>
    <n v="27.886817182200499"/>
    <d v="2021-07-31T00:00:00"/>
    <d v="2021-07-28T00:00:00"/>
    <n v="195.20772027540301"/>
    <n v="-3"/>
    <s v="On Time"/>
    <n v="27.886817182200428"/>
    <n v="0.57772098152175033"/>
    <n v="5.1227482119517598E-3"/>
    <n v="0.79"/>
    <n v="0"/>
    <n v="35.408102076793554"/>
  </r>
  <r>
    <x v="9"/>
    <x v="1"/>
    <x v="2"/>
    <n v="0.69"/>
    <x v="0"/>
    <s v="Late"/>
    <n v="1"/>
    <n v="790.74799999999902"/>
    <x v="0"/>
    <d v="2023-12-26T00:00:00"/>
    <n v="15.5128897402468"/>
    <d v="2024-01-10T00:00:00"/>
    <d v="2024-01-15T00:00:00"/>
    <n v="155.128897402468"/>
    <n v="5"/>
    <s v="Late"/>
    <n v="15.5128897402468"/>
    <n v="0.64659167846875376"/>
    <n v="6.4462522247263178E-3"/>
    <n v="0.69"/>
    <n v="0"/>
    <n v="33.825221136116866"/>
  </r>
  <r>
    <x v="0"/>
    <x v="5"/>
    <x v="1"/>
    <n v="0.99"/>
    <x v="0"/>
    <s v="Late"/>
    <n v="1"/>
    <n v="511.02800000000002"/>
    <x v="4"/>
    <d v="2023-07-04T00:00:00"/>
    <n v="44.566274355148103"/>
    <d v="2023-07-25T00:00:00"/>
    <d v="2023-07-29T00:00:00"/>
    <n v="445.66274355148101"/>
    <n v="4"/>
    <s v="Late"/>
    <n v="44.566274355148103"/>
    <n v="0.36477820416181272"/>
    <n v="2.2438492211195671E-3"/>
    <n v="0.99"/>
    <n v="0"/>
    <n v="37.062879559869842"/>
  </r>
  <r>
    <x v="1"/>
    <x v="1"/>
    <x v="3"/>
    <n v="0.97"/>
    <x v="2"/>
    <s v="Late"/>
    <n v="1"/>
    <n v="295.77"/>
    <x v="1"/>
    <d v="2022-01-31T00:00:00"/>
    <n v="60.1819454892617"/>
    <d v="2022-02-21T00:00:00"/>
    <d v="2022-02-20T00:00:00"/>
    <n v="782.36529136040201"/>
    <n v="-1"/>
    <s v="On Time"/>
    <n v="60.181945489261693"/>
    <n v="0.41595645937051728"/>
    <n v="1.2781753115110306E-3"/>
    <n v="0.97"/>
    <n v="0"/>
    <n v="37.457474446755676"/>
  </r>
  <r>
    <x v="2"/>
    <x v="2"/>
    <x v="2"/>
    <n v="0.62"/>
    <x v="1"/>
    <s v="On Time"/>
    <n v="0"/>
    <n v="81.775599999999997"/>
    <x v="6"/>
    <d v="2024-02-20T00:00:00"/>
    <n v="12.617648555093901"/>
    <d v="2024-03-13T00:00:00"/>
    <d v="2024-03-16T00:00:00"/>
    <n v="151.41178266112601"/>
    <n v="3"/>
    <s v="Late"/>
    <n v="12.617648555093835"/>
    <n v="0.32122324370442412"/>
    <n v="6.6045058213078118E-3"/>
    <n v="0.62"/>
    <n v="1"/>
    <n v="45.22260004872772"/>
  </r>
  <r>
    <x v="3"/>
    <x v="5"/>
    <x v="2"/>
    <n v="0.88"/>
    <x v="3"/>
    <s v="Late"/>
    <n v="1"/>
    <n v="138.35159999999999"/>
    <x v="1"/>
    <d v="2021-07-16T00:00:00"/>
    <n v="35.749303919418502"/>
    <d v="2021-07-30T00:00:00"/>
    <d v="2021-08-01T00:00:00"/>
    <n v="428.99164703302199"/>
    <n v="2"/>
    <s v="Late"/>
    <n v="35.749303919418502"/>
    <n v="0.23100504314827094"/>
    <n v="2.3310477183324367E-3"/>
    <n v="0.88"/>
    <n v="0"/>
    <n v="31.090032294515396"/>
  </r>
  <r>
    <x v="4"/>
    <x v="2"/>
    <x v="1"/>
    <n v="0.96"/>
    <x v="3"/>
    <s v="Late"/>
    <n v="1"/>
    <n v="60.724800000000002"/>
    <x v="5"/>
    <d v="2023-08-25T00:00:00"/>
    <n v="41.619782016016899"/>
    <d v="2023-09-15T00:00:00"/>
    <d v="2023-09-20T00:00:00"/>
    <n v="374.578038144152"/>
    <n v="5"/>
    <s v="Late"/>
    <n v="41.619782016016892"/>
    <n v="7.2818076641922636E-2"/>
    <n v="2.6696706645015895E-3"/>
    <n v="0.96"/>
    <n v="0"/>
    <n v="30.336451652773498"/>
  </r>
  <r>
    <x v="5"/>
    <x v="7"/>
    <x v="2"/>
    <n v="0.67"/>
    <x v="3"/>
    <s v="Late"/>
    <n v="1"/>
    <n v="489.29880000000003"/>
    <x v="4"/>
    <d v="2023-04-01T00:00:00"/>
    <n v="55.633737442329497"/>
    <d v="2023-04-19T00:00:00"/>
    <d v="2023-04-24T00:00:00"/>
    <n v="500.703636980966"/>
    <n v="5"/>
    <s v="Late"/>
    <n v="55.633737442329554"/>
    <n v="0.59590733782585004"/>
    <n v="1.99718940734999E-3"/>
    <n v="0.67"/>
    <n v="0"/>
    <n v="32.078062438737497"/>
  </r>
  <r>
    <x v="6"/>
    <x v="4"/>
    <x v="2"/>
    <n v="0.82"/>
    <x v="3"/>
    <s v="Late"/>
    <n v="1"/>
    <n v="0.72700000000008902"/>
    <x v="4"/>
    <d v="2021-11-26T00:00:00"/>
    <n v="27.662093615131401"/>
    <d v="2021-12-10T00:00:00"/>
    <d v="2021-12-12T00:00:00"/>
    <n v="276.62093615131403"/>
    <n v="2"/>
    <s v="Late"/>
    <n v="27.662093615131404"/>
    <n v="1.0674270310113087E-3"/>
    <n v="3.6150553675119929E-3"/>
    <n v="0.82"/>
    <n v="0"/>
    <n v="24.729800201645581"/>
  </r>
  <r>
    <x v="7"/>
    <x v="7"/>
    <x v="2"/>
    <n v="0.96"/>
    <x v="2"/>
    <s v="On Time"/>
    <n v="0"/>
    <n v="-12.6855999999999"/>
    <x v="6"/>
    <d v="2021-12-10T00:00:00"/>
    <n v="55.903188132338698"/>
    <d v="2021-12-30T00:00:00"/>
    <d v="2021-12-27T00:00:00"/>
    <n v="559.03188132338698"/>
    <n v="-3"/>
    <s v="On Time"/>
    <n v="55.903188132338698"/>
    <n v="0"/>
    <n v="1.7888067450334254E-3"/>
    <n v="0.96"/>
    <n v="1"/>
    <n v="48.853664202350998"/>
  </r>
  <r>
    <x v="8"/>
    <x v="7"/>
    <x v="3"/>
    <n v="0.61"/>
    <x v="3"/>
    <s v="Late"/>
    <n v="1"/>
    <n v="303.27600000000001"/>
    <x v="4"/>
    <d v="2022-07-11T00:00:00"/>
    <n v="35.951776809680403"/>
    <d v="2022-07-28T00:00:00"/>
    <d v="2022-07-28T00:00:00"/>
    <n v="359.51776809680399"/>
    <n v="0"/>
    <s v="On Time"/>
    <n v="35.951776809680396"/>
    <n v="0.65964555111841938"/>
    <n v="2.7815036939446603E-3"/>
    <n v="0.61"/>
    <n v="0"/>
    <n v="31.576356133186728"/>
  </r>
  <r>
    <x v="9"/>
    <x v="2"/>
    <x v="0"/>
    <n v="0.87"/>
    <x v="0"/>
    <s v="Late"/>
    <n v="1"/>
    <n v="108.90900000000001"/>
    <x v="2"/>
    <d v="2022-04-30T00:00:00"/>
    <n v="49.487760076507897"/>
    <d v="2022-05-14T00:00:00"/>
    <d v="2022-05-14T00:00:00"/>
    <n v="494.87760076507902"/>
    <n v="0"/>
    <s v="On Time"/>
    <n v="49.487760076507904"/>
    <n v="0.12241656634733084"/>
    <n v="2.0207016814945827E-3"/>
    <n v="0.87"/>
    <n v="0"/>
    <n v="28.608952377391457"/>
  </r>
  <r>
    <x v="0"/>
    <x v="5"/>
    <x v="1"/>
    <n v="0.72"/>
    <x v="3"/>
    <s v="Late"/>
    <n v="1"/>
    <n v="53.919899999999998"/>
    <x v="4"/>
    <d v="2021-10-02T00:00:00"/>
    <n v="65.459647971679303"/>
    <d v="2021-10-19T00:00:00"/>
    <d v="2021-10-19T00:00:00"/>
    <n v="589.13683174511402"/>
    <n v="0"/>
    <s v="On Time"/>
    <n v="65.459647971679331"/>
    <n v="0.30281888285908282"/>
    <n v="1.6973985432855148E-3"/>
    <n v="0.72"/>
    <n v="0"/>
    <n v="27.707299613480224"/>
  </r>
  <r>
    <x v="1"/>
    <x v="5"/>
    <x v="1"/>
    <n v="0.96"/>
    <x v="0"/>
    <s v="Late"/>
    <n v="1"/>
    <n v="113.1508"/>
    <x v="1"/>
    <d v="2024-04-09T00:00:00"/>
    <n v="78.327091729182797"/>
    <d v="2024-04-24T00:00:00"/>
    <d v="2024-04-29T00:00:00"/>
    <n v="1018.25219247937"/>
    <n v="5"/>
    <s v="Late"/>
    <n v="78.327091729182314"/>
    <n v="0.37869572958739028"/>
    <n v="9.8207497846390375E-4"/>
    <n v="0.96"/>
    <n v="0"/>
    <n v="36.403376841101718"/>
  </r>
  <r>
    <x v="2"/>
    <x v="1"/>
    <x v="2"/>
    <n v="0.98"/>
    <x v="2"/>
    <s v="On Time"/>
    <n v="0"/>
    <n v="122.901"/>
    <x v="1"/>
    <d v="2021-02-21T00:00:00"/>
    <n v="45.529216503474203"/>
    <d v="2021-03-09T00:00:00"/>
    <d v="2021-03-13T00:00:00"/>
    <n v="546.35059804168998"/>
    <n v="4"/>
    <s v="Late"/>
    <n v="45.529216503474167"/>
    <n v="0.32343985620333648"/>
    <n v="1.8303265404748285E-3"/>
    <n v="0.98"/>
    <n v="1"/>
    <n v="55.923706920280971"/>
  </r>
  <r>
    <x v="3"/>
    <x v="0"/>
    <x v="2"/>
    <n v="0.97"/>
    <x v="2"/>
    <s v="Late"/>
    <n v="1"/>
    <n v="69.583500000000001"/>
    <x v="0"/>
    <d v="2022-03-14T00:00:00"/>
    <n v="67.327530985860804"/>
    <d v="2022-03-29T00:00:00"/>
    <d v="2022-03-30T00:00:00"/>
    <n v="942.58543380205197"/>
    <n v="1"/>
    <s v="Late"/>
    <n v="67.327530985860861"/>
    <n v="0.57137050585670468"/>
    <n v="1.0609117902091467E-3"/>
    <n v="0.97"/>
    <n v="0"/>
    <n v="40.559237470840372"/>
  </r>
  <r>
    <x v="4"/>
    <x v="4"/>
    <x v="1"/>
    <n v="0.78"/>
    <x v="1"/>
    <s v="On Time"/>
    <n v="0"/>
    <n v="242.00399999999999"/>
    <x v="1"/>
    <d v="2022-12-18T00:00:00"/>
    <n v="9.3788031256260993"/>
    <d v="2022-12-30T00:00:00"/>
    <d v="2023-01-02T00:00:00"/>
    <n v="103.166834381887"/>
    <n v="3"/>
    <s v="Late"/>
    <n v="9.3788031256260904"/>
    <n v="0.37630616509926851"/>
    <n v="9.6930375540879247E-3"/>
    <n v="0.78"/>
    <n v="1"/>
    <n v="51.216914428608007"/>
  </r>
  <r>
    <x v="5"/>
    <x v="2"/>
    <x v="2"/>
    <n v="0.94"/>
    <x v="0"/>
    <s v="Late"/>
    <n v="1"/>
    <n v="282.92519999999899"/>
    <x v="0"/>
    <d v="2023-11-10T00:00:00"/>
    <n v="73.763067633153497"/>
    <d v="2023-11-26T00:00:00"/>
    <d v="2023-11-27T00:00:00"/>
    <n v="663.86760869838099"/>
    <n v="1"/>
    <s v="Late"/>
    <n v="73.76306763315344"/>
    <n v="0.8702573813030362"/>
    <n v="1.5063244341152002E-3"/>
    <n v="0.94"/>
    <n v="0"/>
    <n v="45.650337359084176"/>
  </r>
  <r>
    <x v="6"/>
    <x v="1"/>
    <x v="3"/>
    <n v="0.93"/>
    <x v="2"/>
    <s v="Late"/>
    <n v="1"/>
    <n v="340.7"/>
    <x v="1"/>
    <d v="2022-10-01T00:00:00"/>
    <n v="13.750742578381001"/>
    <d v="2022-10-24T00:00:00"/>
    <d v="2022-10-29T00:00:00"/>
    <n v="151.25816836219201"/>
    <n v="5"/>
    <s v="Late"/>
    <n v="13.750742578381091"/>
    <n v="0.41241980389783317"/>
    <n v="6.6112132047339844E-3"/>
    <n v="0.93"/>
    <n v="0"/>
    <n v="36.346732474098687"/>
  </r>
  <r>
    <x v="7"/>
    <x v="3"/>
    <x v="1"/>
    <n v="0.72"/>
    <x v="1"/>
    <s v="Late"/>
    <n v="1"/>
    <n v="-92.055000000000106"/>
    <x v="2"/>
    <d v="2023-10-10T00:00:00"/>
    <n v="5.75985235244341"/>
    <d v="2023-10-27T00:00:00"/>
    <d v="2023-10-25T00:00:00"/>
    <n v="57.5985235244341"/>
    <n v="-2"/>
    <s v="On Time"/>
    <n v="5.75985235244341"/>
    <n v="0"/>
    <n v="1.7361556144330437E-2"/>
    <n v="0.72"/>
    <n v="0"/>
    <n v="22.120846684329912"/>
  </r>
  <r>
    <x v="8"/>
    <x v="0"/>
    <x v="2"/>
    <n v="0.92"/>
    <x v="3"/>
    <s v="Late"/>
    <n v="1"/>
    <n v="382.51359999999897"/>
    <x v="0"/>
    <d v="2023-08-22T00:00:00"/>
    <n v="58.9766026043376"/>
    <d v="2023-09-10T00:00:00"/>
    <d v="2023-09-15T00:00:00"/>
    <n v="1002.60224427374"/>
    <n v="5"/>
    <s v="Late"/>
    <n v="58.976602604337643"/>
    <n v="0.58603589690792335"/>
    <n v="9.974045098257037E-4"/>
    <n v="0.92"/>
    <n v="0"/>
    <n v="39.350640073453235"/>
  </r>
  <r>
    <x v="9"/>
    <x v="0"/>
    <x v="1"/>
    <n v="0.61"/>
    <x v="0"/>
    <s v="Late"/>
    <n v="1"/>
    <n v="-49.327999999999903"/>
    <x v="3"/>
    <d v="2023-11-03T00:00:00"/>
    <n v="5.4365026078019802"/>
    <d v="2023-11-23T00:00:00"/>
    <d v="2023-11-22T00:00:00"/>
    <n v="65.238031293623806"/>
    <n v="-1"/>
    <s v="On Time"/>
    <n v="5.4365026078019838"/>
    <n v="0"/>
    <n v="1.5328482177814238E-2"/>
    <n v="0.61"/>
    <n v="0"/>
    <n v="18.759854465334428"/>
  </r>
  <r>
    <x v="2"/>
    <x v="2"/>
    <x v="0"/>
    <n v="0.83"/>
    <x v="1"/>
    <s v="Late"/>
    <n v="1"/>
    <n v="222.38640000000001"/>
    <x v="5"/>
    <d v="2023-06-28T00:00:00"/>
    <n v="67.533400770013401"/>
    <d v="2023-07-16T00:00:00"/>
    <d v="2023-07-20T00:00:00"/>
    <n v="472.73380539009401"/>
    <n v="4"/>
    <s v="Late"/>
    <n v="67.533400770013429"/>
    <n v="0.73994032202681514"/>
    <n v="2.1153553830888243E-3"/>
    <n v="0.83"/>
    <n v="0"/>
    <n v="39.762267102028964"/>
  </r>
  <r>
    <x v="3"/>
    <x v="6"/>
    <x v="2"/>
    <n v="0.69"/>
    <x v="3"/>
    <s v="Late"/>
    <n v="1"/>
    <n v="54.904400000000003"/>
    <x v="6"/>
    <d v="2021-03-06T00:00:00"/>
    <n v="67.912938778517898"/>
    <d v="2021-03-28T00:00:00"/>
    <d v="2021-03-25T00:00:00"/>
    <n v="611.21644900666104"/>
    <n v="-3"/>
    <s v="On Time"/>
    <n v="67.912938778517898"/>
    <n v="0.17598444024765342"/>
    <n v="1.6360816231716009E-3"/>
    <n v="0.69"/>
    <n v="0"/>
    <n v="24.268771253648218"/>
  </r>
  <r>
    <x v="4"/>
    <x v="4"/>
    <x v="1"/>
    <n v="0.65"/>
    <x v="3"/>
    <s v="On Time"/>
    <n v="0"/>
    <n v="130.77760000000001"/>
    <x v="1"/>
    <d v="2023-06-11T00:00:00"/>
    <n v="3.6777124452685701"/>
    <d v="2023-06-28T00:00:00"/>
    <d v="2023-07-02T00:00:00"/>
    <n v="47.810261788491403"/>
    <n v="4"/>
    <s v="Late"/>
    <n v="3.6777124452685692"/>
    <n v="0.28442427711671397"/>
    <n v="2.0916011805664571E-2"/>
    <n v="0.65"/>
    <n v="1"/>
    <n v="45.815965896504217"/>
  </r>
  <r>
    <x v="5"/>
    <x v="0"/>
    <x v="2"/>
    <n v="0.63"/>
    <x v="3"/>
    <s v="Late"/>
    <n v="1"/>
    <n v="39.306600000000003"/>
    <x v="4"/>
    <d v="2023-10-17T00:00:00"/>
    <n v="30.891335145756901"/>
    <d v="2023-10-29T00:00:00"/>
    <d v="2023-11-03T00:00:00"/>
    <n v="339.80468660332599"/>
    <n v="5"/>
    <s v="Late"/>
    <n v="30.891335145756909"/>
    <n v="7.7412287698476009E-2"/>
    <n v="2.9428670039720753E-3"/>
    <n v="0.63"/>
    <n v="0"/>
    <n v="20.536531764088682"/>
  </r>
  <r>
    <x v="6"/>
    <x v="2"/>
    <x v="2"/>
    <n v="0.87"/>
    <x v="2"/>
    <s v="Late"/>
    <n v="1"/>
    <n v="304.375"/>
    <x v="1"/>
    <d v="2023-03-11T00:00:00"/>
    <n v="47.459969079836199"/>
    <d v="2023-03-22T00:00:00"/>
    <d v="2023-03-24T00:00:00"/>
    <n v="474.59969079836202"/>
    <n v="2"/>
    <s v="Late"/>
    <n v="47.459969079836199"/>
    <n v="0.52946292672320072"/>
    <n v="2.1070388780022593E-3"/>
    <n v="0.87"/>
    <n v="0"/>
    <n v="36.752469700804077"/>
  </r>
  <r>
    <x v="7"/>
    <x v="2"/>
    <x v="2"/>
    <n v="0.73"/>
    <x v="3"/>
    <s v="Late"/>
    <n v="1"/>
    <n v="-84.551000000000002"/>
    <x v="4"/>
    <d v="2021-05-30T00:00:00"/>
    <n v="56.810195083492601"/>
    <d v="2021-06-23T00:00:00"/>
    <d v="2021-06-24T00:00:00"/>
    <n v="1079.3937065863499"/>
    <n v="1"/>
    <s v="Late"/>
    <n v="56.810195083492104"/>
    <n v="0"/>
    <n v="9.2644601677599405E-4"/>
    <n v="0.73"/>
    <n v="0"/>
    <n v="21.927793380503282"/>
  </r>
  <r>
    <x v="8"/>
    <x v="1"/>
    <x v="1"/>
    <n v="0.88"/>
    <x v="2"/>
    <s v="On Time"/>
    <n v="0"/>
    <n v="467.08"/>
    <x v="5"/>
    <d v="2023-02-26T00:00:00"/>
    <n v="24.990370123793301"/>
    <d v="2023-03-13T00:00:00"/>
    <d v="2023-03-12T00:00:00"/>
    <n v="374.85555185689998"/>
    <n v="-1"/>
    <s v="On Time"/>
    <n v="24.990370123793333"/>
    <n v="0.36482644421532789"/>
    <n v="2.6676942492817796E-3"/>
    <n v="0.88"/>
    <n v="1"/>
    <n v="53.776559711785012"/>
  </r>
  <r>
    <x v="9"/>
    <x v="3"/>
    <x v="0"/>
    <n v="0.63"/>
    <x v="1"/>
    <s v="On Time"/>
    <n v="0"/>
    <n v="29.347200000000001"/>
    <x v="5"/>
    <d v="2022-03-03T00:00:00"/>
    <n v="25.340063070892"/>
    <d v="2022-03-27T00:00:00"/>
    <d v="2022-03-28T00:00:00"/>
    <n v="329.420819921597"/>
    <n v="1"/>
    <s v="Late"/>
    <n v="25.340063070892079"/>
    <n v="0.14727561786385315"/>
    <n v="3.035630839113334E-3"/>
    <n v="0.63"/>
    <n v="1"/>
    <n v="41.936581282450462"/>
  </r>
  <r>
    <x v="0"/>
    <x v="6"/>
    <x v="2"/>
    <n v="0.72"/>
    <x v="0"/>
    <s v="Late"/>
    <n v="1"/>
    <n v="714.38499999999999"/>
    <x v="5"/>
    <d v="2023-02-23T00:00:00"/>
    <n v="79.338453578143501"/>
    <d v="2023-03-16T00:00:00"/>
    <d v="2023-03-14T00:00:00"/>
    <n v="793.38453578143503"/>
    <n v="-2"/>
    <s v="On Time"/>
    <n v="79.338453578143501"/>
    <n v="0.66370760576203947"/>
    <n v="1.2604228528541477E-3"/>
    <n v="0.72"/>
    <n v="0"/>
    <n v="34.911964800826411"/>
  </r>
  <r>
    <x v="1"/>
    <x v="4"/>
    <x v="1"/>
    <n v="0.81"/>
    <x v="1"/>
    <s v="Late"/>
    <n v="1"/>
    <n v="689.77199999999903"/>
    <x v="4"/>
    <d v="2023-07-12T00:00:00"/>
    <n v="67.910389886567003"/>
    <d v="2023-07-28T00:00:00"/>
    <d v="2023-07-26T00:00:00"/>
    <n v="543.28311909253603"/>
    <n v="-2"/>
    <s v="On Time"/>
    <n v="67.910389886567003"/>
    <n v="0.73537087736355855"/>
    <n v="1.8406609093069807E-3"/>
    <n v="0.81"/>
    <n v="0"/>
    <n v="39.062637374550377"/>
  </r>
  <r>
    <x v="2"/>
    <x v="5"/>
    <x v="2"/>
    <n v="0.91"/>
    <x v="1"/>
    <s v="Late"/>
    <n v="1"/>
    <n v="-21.300299999999901"/>
    <x v="1"/>
    <d v="2021-01-09T00:00:00"/>
    <n v="21.7014191476033"/>
    <d v="2021-01-28T00:00:00"/>
    <d v="2021-01-29T00:00:00"/>
    <n v="238.715610623636"/>
    <n v="1"/>
    <s v="Late"/>
    <n v="21.701419147603271"/>
    <n v="0"/>
    <n v="4.1890850681592868E-3"/>
    <n v="0.91"/>
    <n v="0"/>
    <n v="27.425672552044784"/>
  </r>
  <r>
    <x v="3"/>
    <x v="7"/>
    <x v="3"/>
    <n v="0.72"/>
    <x v="3"/>
    <s v="Late"/>
    <n v="1"/>
    <n v="694.47360000000003"/>
    <x v="5"/>
    <d v="2022-11-12T00:00:00"/>
    <n v="19.869519511125699"/>
    <d v="2022-11-24T00:00:00"/>
    <d v="2022-11-21T00:00:00"/>
    <n v="178.82567560013101"/>
    <n v="-3"/>
    <s v="On Time"/>
    <n v="19.869519511125667"/>
    <n v="0.38081025025530885"/>
    <n v="5.5920381491306797E-3"/>
    <n v="0.72"/>
    <n v="0"/>
    <n v="29.383966149580097"/>
  </r>
  <r>
    <x v="4"/>
    <x v="3"/>
    <x v="2"/>
    <n v="0.84"/>
    <x v="0"/>
    <s v="Late"/>
    <n v="1"/>
    <n v="497.50560000000002"/>
    <x v="2"/>
    <d v="2022-03-27T00:00:00"/>
    <n v="44.848824491202102"/>
    <d v="2022-04-12T00:00:00"/>
    <d v="2022-04-18T00:00:00"/>
    <n v="313.941771438415"/>
    <n v="6"/>
    <s v="Late"/>
    <n v="44.848824491202144"/>
    <n v="0.62561567434448795"/>
    <n v="3.1853040626553478E-3"/>
    <n v="0.84"/>
    <n v="0"/>
    <n v="37.807872608769422"/>
  </r>
  <r>
    <x v="5"/>
    <x v="3"/>
    <x v="3"/>
    <n v="0.95"/>
    <x v="1"/>
    <s v="Late"/>
    <n v="1"/>
    <n v="226.76489999999899"/>
    <x v="0"/>
    <d v="2022-04-29T00:00:00"/>
    <n v="57.591243254031298"/>
    <d v="2022-05-11T00:00:00"/>
    <d v="2022-05-14T00:00:00"/>
    <n v="979.05113531853306"/>
    <n v="3"/>
    <s v="Late"/>
    <n v="57.591243254031355"/>
    <n v="0.56021086754965166"/>
    <n v="1.0213971098400813E-3"/>
    <n v="0.95"/>
    <n v="0"/>
    <n v="39.734859264288232"/>
  </r>
  <r>
    <x v="6"/>
    <x v="1"/>
    <x v="1"/>
    <n v="0.84"/>
    <x v="2"/>
    <s v="Late"/>
    <n v="1"/>
    <n v="612.94659999999999"/>
    <x v="4"/>
    <d v="2024-03-09T00:00:00"/>
    <n v="4.5814341147057203"/>
    <d v="2024-03-27T00:00:00"/>
    <d v="2024-03-24T00:00:00"/>
    <n v="22.9071705735286"/>
    <n v="-3"/>
    <s v="On Time"/>
    <n v="4.5814341147057203"/>
    <n v="0.66682861968810592"/>
    <n v="4.365445294913875E-2"/>
    <n v="0.84"/>
    <n v="0"/>
    <n v="39.846205982236285"/>
  </r>
  <r>
    <x v="7"/>
    <x v="5"/>
    <x v="0"/>
    <n v="0.69"/>
    <x v="3"/>
    <s v="Late"/>
    <n v="1"/>
    <n v="444.67549999999898"/>
    <x v="4"/>
    <d v="2023-07-08T00:00:00"/>
    <n v="19.0232272007832"/>
    <d v="2023-07-21T00:00:00"/>
    <d v="2023-07-26T00:00:00"/>
    <n v="190.23227200783199"/>
    <n v="5"/>
    <s v="Late"/>
    <n v="19.0232272007832"/>
    <n v="0.68731428006160922"/>
    <n v="5.2567316231119255E-3"/>
    <n v="0.69"/>
    <n v="0"/>
    <n v="34.603987549925542"/>
  </r>
  <r>
    <x v="8"/>
    <x v="0"/>
    <x v="2"/>
    <n v="0.61"/>
    <x v="1"/>
    <s v="On Time"/>
    <n v="0"/>
    <n v="-73.581999999999994"/>
    <x v="1"/>
    <d v="2023-10-06T00:00:00"/>
    <n v="78.452495742924498"/>
    <d v="2023-10-23T00:00:00"/>
    <d v="2023-10-22T00:00:00"/>
    <n v="706.07246168632003"/>
    <n v="-1"/>
    <s v="On Time"/>
    <n v="78.452495742924441"/>
    <n v="0"/>
    <n v="1.4162852317050998E-3"/>
    <n v="0.61"/>
    <n v="1"/>
    <n v="38.342488556951153"/>
  </r>
  <r>
    <x v="9"/>
    <x v="0"/>
    <x v="2"/>
    <n v="0.94"/>
    <x v="0"/>
    <s v="On Time"/>
    <n v="0"/>
    <n v="277.983"/>
    <x v="4"/>
    <d v="2021-02-27T00:00:00"/>
    <n v="43.282614196858702"/>
    <d v="2021-03-13T00:00:00"/>
    <d v="2021-03-17T00:00:00"/>
    <n v="346.26091357486899"/>
    <n v="4"/>
    <s v="Late"/>
    <n v="43.282614196858624"/>
    <n v="0.73994032202681514"/>
    <n v="2.8879956148552665E-3"/>
    <n v="0.94"/>
    <n v="1"/>
    <n v="63.085446308981965"/>
  </r>
  <r>
    <x v="3"/>
    <x v="1"/>
    <x v="2"/>
    <n v="0.61"/>
    <x v="0"/>
    <s v="Late"/>
    <n v="1"/>
    <n v="412.44600000000003"/>
    <x v="4"/>
    <d v="2022-08-02T00:00:00"/>
    <n v="74.742064379823304"/>
    <d v="2022-08-12T00:00:00"/>
    <d v="2022-08-17T00:00:00"/>
    <n v="896.90477255788005"/>
    <n v="5"/>
    <s v="Late"/>
    <n v="74.742064379823333"/>
    <n v="0.37084931565971269"/>
    <n v="1.114945566794235E-3"/>
    <n v="0.61"/>
    <n v="0"/>
    <n v="25.750434680198079"/>
  </r>
  <r>
    <x v="4"/>
    <x v="2"/>
    <x v="1"/>
    <n v="0.94"/>
    <x v="2"/>
    <s v="Late"/>
    <n v="1"/>
    <n v="265.321699999999"/>
    <x v="5"/>
    <d v="2022-03-04T00:00:00"/>
    <n v="4.90750873619172"/>
    <d v="2022-03-20T00:00:00"/>
    <d v="2022-03-20T00:00:00"/>
    <n v="49.075087361917198"/>
    <n v="0"/>
    <s v="On Time"/>
    <n v="4.90750873619172"/>
    <n v="0.17397668535883248"/>
    <n v="2.0376937744913948E-2"/>
    <n v="0.94"/>
    <n v="0"/>
    <n v="32.290841839524063"/>
  </r>
  <r>
    <x v="5"/>
    <x v="0"/>
    <x v="2"/>
    <n v="0.81"/>
    <x v="0"/>
    <s v="On Time"/>
    <n v="0"/>
    <n v="1041.1951999999901"/>
    <x v="1"/>
    <d v="2021-06-15T00:00:00"/>
    <n v="60.956675026785"/>
    <d v="2021-07-03T00:00:00"/>
    <d v="2021-07-02T00:00:00"/>
    <n v="1097.2201504821301"/>
    <n v="-1"/>
    <s v="On Time"/>
    <n v="60.956675026785007"/>
    <n v="0.51669264367615075"/>
    <n v="9.1139412592868398E-4"/>
    <n v="0.81"/>
    <n v="1"/>
    <n v="54.661194697300871"/>
  </r>
  <r>
    <x v="6"/>
    <x v="6"/>
    <x v="2"/>
    <n v="0.97"/>
    <x v="3"/>
    <s v="Late"/>
    <n v="1"/>
    <n v="402.26079999999899"/>
    <x v="5"/>
    <d v="2021-01-24T00:00:00"/>
    <n v="53.073517869815099"/>
    <d v="2021-02-06T00:00:00"/>
    <d v="2021-02-06T00:00:00"/>
    <n v="424.58814295852102"/>
    <n v="0"/>
    <s v="On Time"/>
    <n v="53.073517869815127"/>
    <n v="0.2603662129652366"/>
    <n v="2.3552235656700668E-3"/>
    <n v="0.97"/>
    <n v="0"/>
    <n v="34.377980966274833"/>
  </r>
  <r>
    <x v="7"/>
    <x v="4"/>
    <x v="1"/>
    <n v="0.91"/>
    <x v="3"/>
    <s v="Late"/>
    <n v="1"/>
    <n v="263.731799999999"/>
    <x v="0"/>
    <d v="2021-07-09T00:00:00"/>
    <n v="33.421999266936197"/>
    <d v="2021-08-01T00:00:00"/>
    <d v="2021-08-02T00:00:00"/>
    <n v="267.37599413548901"/>
    <n v="1"/>
    <s v="Late"/>
    <n v="33.421999266936126"/>
    <n v="0.87822250815679392"/>
    <n v="3.7400515451408256E-3"/>
    <n v="0.91"/>
    <n v="0"/>
    <n v="44.976651709490106"/>
  </r>
  <r>
    <x v="8"/>
    <x v="3"/>
    <x v="2"/>
    <n v="0.99"/>
    <x v="0"/>
    <s v="Late"/>
    <n v="1"/>
    <n v="416.55679999999899"/>
    <x v="0"/>
    <d v="2021-01-20T00:00:00"/>
    <n v="57.811066267816102"/>
    <d v="2021-02-05T00:00:00"/>
    <d v="2021-02-06T00:00:00"/>
    <n v="578.11066267816102"/>
    <n v="1"/>
    <s v="Late"/>
    <n v="57.811066267816102"/>
    <n v="0.50626934864112139"/>
    <n v="1.7297726275578285E-3"/>
    <n v="0.99"/>
    <n v="0"/>
    <n v="39.877280151649167"/>
  </r>
  <r>
    <x v="9"/>
    <x v="0"/>
    <x v="0"/>
    <n v="0.75"/>
    <x v="1"/>
    <s v="Late"/>
    <n v="1"/>
    <n v="256.38600000000002"/>
    <x v="5"/>
    <d v="2021-04-11T00:00:00"/>
    <n v="45.860726533960801"/>
    <d v="2021-04-28T00:00:00"/>
    <d v="2021-04-29T00:00:00"/>
    <n v="550.32871840753"/>
    <n v="1"/>
    <s v="Late"/>
    <n v="45.860726533960836"/>
    <n v="0.85872470408552903"/>
    <n v="1.8170957948436173E-3"/>
    <n v="0.75"/>
    <n v="0"/>
    <n v="39.729006955555889"/>
  </r>
  <r>
    <x v="0"/>
    <x v="1"/>
    <x v="1"/>
    <n v="0.8"/>
    <x v="1"/>
    <s v="Late"/>
    <n v="1"/>
    <n v="78.177599999999998"/>
    <x v="0"/>
    <d v="2023-01-06T00:00:00"/>
    <n v="52.166773463381901"/>
    <d v="2023-01-24T00:00:00"/>
    <d v="2023-01-30T00:00:00"/>
    <n v="521.66773463381901"/>
    <n v="6"/>
    <s v="Late"/>
    <n v="52.166773463381901"/>
    <n v="0.16085343411432013"/>
    <n v="1.9169289829702482E-3"/>
    <n v="0.8"/>
    <n v="0"/>
    <n v="27.27457655177551"/>
  </r>
  <r>
    <x v="1"/>
    <x v="2"/>
    <x v="2"/>
    <n v="0.62"/>
    <x v="1"/>
    <s v="Late"/>
    <n v="1"/>
    <n v="-78.626800000000003"/>
    <x v="1"/>
    <d v="2023-05-20T00:00:00"/>
    <n v="18.425363171794501"/>
    <d v="2023-06-01T00:00:00"/>
    <d v="2023-06-04T00:00:00"/>
    <n v="165.82826854615001"/>
    <n v="3"/>
    <s v="Late"/>
    <n v="18.425363171794444"/>
    <n v="0"/>
    <n v="6.0303349288224643E-3"/>
    <n v="0.62"/>
    <n v="0"/>
    <n v="18.780910047864673"/>
  </r>
  <r>
    <x v="2"/>
    <x v="0"/>
    <x v="2"/>
    <n v="0.66"/>
    <x v="2"/>
    <s v="Late"/>
    <n v="1"/>
    <n v="397.51039999999898"/>
    <x v="6"/>
    <d v="2023-05-11T00:00:00"/>
    <n v="39.940471266420502"/>
    <d v="2023-06-03T00:00:00"/>
    <d v="2023-06-02T00:00:00"/>
    <n v="359.46424139778401"/>
    <n v="-1"/>
    <s v="On Time"/>
    <n v="39.940471266420445"/>
    <n v="0.2345539496553587"/>
    <n v="2.781917878984234E-3"/>
    <n v="0.66"/>
    <n v="0"/>
    <n v="24.574536529476703"/>
  </r>
  <r>
    <x v="3"/>
    <x v="3"/>
    <x v="2"/>
    <n v="0.89"/>
    <x v="0"/>
    <s v="Late"/>
    <n v="1"/>
    <n v="38.641599999999897"/>
    <x v="5"/>
    <d v="2022-10-25T00:00:00"/>
    <n v="29.045332266459301"/>
    <d v="2022-11-18T00:00:00"/>
    <d v="2022-11-17T00:00:00"/>
    <n v="319.49865493105301"/>
    <n v="-1"/>
    <s v="On Time"/>
    <n v="29.045332266459365"/>
    <n v="0.21271198756368928"/>
    <n v="3.1299036304731783E-3"/>
    <n v="0.89"/>
    <n v="0"/>
    <n v="31.048136860187981"/>
  </r>
  <r>
    <x v="4"/>
    <x v="0"/>
    <x v="3"/>
    <n v="0.63"/>
    <x v="1"/>
    <s v="Late"/>
    <n v="1"/>
    <n v="157.9648"/>
    <x v="2"/>
    <d v="2024-01-15T00:00:00"/>
    <n v="73.510166880985807"/>
    <d v="2024-02-03T00:00:00"/>
    <d v="2024-01-31T00:00:00"/>
    <n v="735.10166880985798"/>
    <n v="-3"/>
    <s v="On Time"/>
    <n v="73.510166880985793"/>
    <n v="0.35635058995932184"/>
    <n v="1.3603560465575012E-3"/>
    <n v="0.63"/>
    <n v="0"/>
    <n v="26.067822480583164"/>
  </r>
  <r>
    <x v="5"/>
    <x v="1"/>
    <x v="3"/>
    <n v="0.84"/>
    <x v="1"/>
    <s v="Late"/>
    <n v="1"/>
    <n v="206.5925"/>
    <x v="2"/>
    <d v="2023-08-17T00:00:00"/>
    <n v="18.231391366233701"/>
    <d v="2023-09-01T00:00:00"/>
    <d v="2023-08-30T00:00:00"/>
    <n v="237.00808776103801"/>
    <n v="-2"/>
    <s v="On Time"/>
    <n v="18.231391366233694"/>
    <n v="0.40185861493797326"/>
    <n v="4.2192652978502746E-3"/>
    <n v="0.84"/>
    <n v="0"/>
    <n v="33.363750257694974"/>
  </r>
  <r>
    <x v="6"/>
    <x v="0"/>
    <x v="2"/>
    <n v="0.7"/>
    <x v="1"/>
    <s v="Late"/>
    <n v="1"/>
    <n v="408.49599999999998"/>
    <x v="4"/>
    <d v="2021-04-03T00:00:00"/>
    <n v="47.469545249727403"/>
    <d v="2021-04-20T00:00:00"/>
    <d v="2021-04-25T00:00:00"/>
    <n v="237.347726248637"/>
    <n v="5"/>
    <s v="Late"/>
    <n v="47.469545249727403"/>
    <n v="0.32893990929705214"/>
    <n v="4.2132276378010706E-3"/>
    <n v="0.7"/>
    <n v="0"/>
    <n v="27.705195015075073"/>
  </r>
  <r>
    <x v="7"/>
    <x v="1"/>
    <x v="2"/>
    <n v="0.75"/>
    <x v="0"/>
    <s v="Late"/>
    <n v="1"/>
    <n v="239.57999999999899"/>
    <x v="0"/>
    <d v="2021-02-14T00:00:00"/>
    <n v="68.411464422038605"/>
    <d v="2021-02-27T00:00:00"/>
    <d v="2021-02-26T00:00:00"/>
    <n v="342.05732211019301"/>
    <n v="-1"/>
    <s v="On Time"/>
    <n v="68.411464422038605"/>
    <n v="0.48435225618631528"/>
    <n v="2.9234866069548782E-3"/>
    <n v="0.75"/>
    <n v="0"/>
    <n v="32.274749721934946"/>
  </r>
  <r>
    <x v="8"/>
    <x v="4"/>
    <x v="2"/>
    <n v="0.71"/>
    <x v="1"/>
    <s v="Late"/>
    <n v="1"/>
    <n v="275.43759999999997"/>
    <x v="2"/>
    <d v="2023-09-16T00:00:00"/>
    <n v="28.2024929497865"/>
    <d v="2023-10-07T00:00:00"/>
    <d v="2023-10-07T00:00:00"/>
    <n v="338.42991539743798"/>
    <n v="0"/>
    <s v="On Time"/>
    <n v="28.2024929497865"/>
    <n v="0.50680580027585309"/>
    <n v="2.954821528781348E-3"/>
    <n v="0.71"/>
    <n v="0"/>
    <n v="31.5247606513805"/>
  </r>
  <r>
    <x v="9"/>
    <x v="5"/>
    <x v="3"/>
    <n v="0.74"/>
    <x v="2"/>
    <s v="Late"/>
    <n v="1"/>
    <n v="386.60860000000002"/>
    <x v="4"/>
    <d v="2021-06-03T00:00:00"/>
    <n v="36.120880494628402"/>
    <d v="2021-06-17T00:00:00"/>
    <d v="2021-06-14T00:00:00"/>
    <n v="288.96704395702699"/>
    <n v="-3"/>
    <s v="On Time"/>
    <n v="36.120880494628373"/>
    <n v="0.30093096597936686"/>
    <n v="3.4606022413708622E-3"/>
    <n v="0.74"/>
    <n v="0"/>
    <n v="28.322437386828465"/>
  </r>
  <r>
    <x v="5"/>
    <x v="1"/>
    <x v="3"/>
    <n v="0.88"/>
    <x v="2"/>
    <s v="Late"/>
    <n v="1"/>
    <n v="830.93279999999902"/>
    <x v="6"/>
    <d v="2021-01-14T00:00:00"/>
    <n v="31.617657795588201"/>
    <d v="2021-02-03T00:00:00"/>
    <d v="2021-01-31T00:00:00"/>
    <n v="347.79423575147098"/>
    <n v="-3"/>
    <s v="On Time"/>
    <n v="31.617657795588272"/>
    <n v="0.75913890789173555"/>
    <n v="2.8752632942271833E-3"/>
    <n v="0.88"/>
    <n v="0"/>
    <n v="41.669036056661525"/>
  </r>
  <r>
    <x v="6"/>
    <x v="1"/>
    <x v="2"/>
    <n v="0.72"/>
    <x v="0"/>
    <s v="On Time"/>
    <n v="0"/>
    <n v="337.53399999999903"/>
    <x v="1"/>
    <d v="2023-10-28T00:00:00"/>
    <n v="68.200069190302898"/>
    <d v="2023-11-20T00:00:00"/>
    <d v="2023-11-25T00:00:00"/>
    <n v="818.40083028363495"/>
    <n v="5"/>
    <s v="Late"/>
    <n v="68.200069190302912"/>
    <n v="0.28746261233333026"/>
    <n v="1.2218951435489477E-3"/>
    <n v="0.72"/>
    <n v="1"/>
    <n v="47.385909100973073"/>
  </r>
  <r>
    <x v="7"/>
    <x v="6"/>
    <x v="0"/>
    <n v="0.82"/>
    <x v="0"/>
    <s v="Late"/>
    <n v="1"/>
    <n v="-32.5491999999999"/>
    <x v="1"/>
    <d v="2023-05-15T00:00:00"/>
    <n v="74.463981611330894"/>
    <d v="2023-06-08T00:00:00"/>
    <d v="2023-06-09T00:00:00"/>
    <n v="744.63981611330905"/>
    <n v="1"/>
    <s v="Late"/>
    <n v="74.463981611330908"/>
    <n v="0"/>
    <n v="1.342931143837511E-3"/>
    <n v="0.82"/>
    <n v="0"/>
    <n v="24.640287934315122"/>
  </r>
  <r>
    <x v="8"/>
    <x v="1"/>
    <x v="1"/>
    <n v="0.79"/>
    <x v="1"/>
    <s v="Late"/>
    <n v="1"/>
    <n v="633.12850000000003"/>
    <x v="1"/>
    <d v="2021-05-13T00:00:00"/>
    <n v="75.612338569126806"/>
    <d v="2021-05-28T00:00:00"/>
    <d v="2021-05-25T00:00:00"/>
    <n v="529.28636998388697"/>
    <n v="-3"/>
    <s v="On Time"/>
    <n v="75.612338569126706"/>
    <n v="0.95418433420719684"/>
    <n v="1.8893363908661447E-3"/>
    <n v="0.79"/>
    <n v="0"/>
    <n v="42.840366775869917"/>
  </r>
  <r>
    <x v="9"/>
    <x v="1"/>
    <x v="3"/>
    <n v="0.86"/>
    <x v="2"/>
    <s v="Late"/>
    <n v="1"/>
    <n v="423.23749999999899"/>
    <x v="2"/>
    <d v="2021-12-24T00:00:00"/>
    <n v="17.0263436638425"/>
    <d v="2022-01-04T00:00:00"/>
    <d v="2022-01-08T00:00:00"/>
    <n v="170.26343663842499"/>
    <n v="4"/>
    <s v="Late"/>
    <n v="17.0263436638425"/>
    <n v="0.29205762658648343"/>
    <n v="5.8732515902613957E-3"/>
    <n v="0.86"/>
    <n v="0"/>
    <n v="31.81735007943751"/>
  </r>
  <r>
    <x v="0"/>
    <x v="2"/>
    <x v="3"/>
    <n v="0.97"/>
    <x v="3"/>
    <s v="Late"/>
    <n v="1"/>
    <n v="-27.591199999999901"/>
    <x v="6"/>
    <d v="2022-12-27T00:00:00"/>
    <n v="3.5016892831603199"/>
    <d v="2023-01-07T00:00:00"/>
    <d v="2023-01-12T00:00:00"/>
    <n v="42.0202713979238"/>
    <n v="5"/>
    <s v="Late"/>
    <n v="3.5016892831603168"/>
    <n v="0"/>
    <n v="2.3798037631175543E-2"/>
    <n v="0.97"/>
    <n v="0"/>
    <n v="29.813941128935262"/>
  </r>
  <r>
    <x v="1"/>
    <x v="5"/>
    <x v="0"/>
    <n v="0.89"/>
    <x v="3"/>
    <s v="Late"/>
    <n v="1"/>
    <n v="903.50720000000001"/>
    <x v="2"/>
    <d v="2023-07-19T00:00:00"/>
    <n v="21.251206661736202"/>
    <d v="2023-08-11T00:00:00"/>
    <d v="2023-08-09T00:00:00"/>
    <n v="191.26085995562599"/>
    <n v="-2"/>
    <s v="On Time"/>
    <n v="21.251206661736219"/>
    <n v="0.47772583376902006"/>
    <n v="5.2284612765623236E-3"/>
    <n v="0.89"/>
    <n v="0"/>
    <n v="36.411370513677277"/>
  </r>
  <r>
    <x v="2"/>
    <x v="4"/>
    <x v="0"/>
    <n v="0.68"/>
    <x v="1"/>
    <s v="Late"/>
    <n v="1"/>
    <n v="18.873999999999999"/>
    <x v="0"/>
    <d v="2022-04-04T00:00:00"/>
    <n v="44.935074273495601"/>
    <d v="2022-04-25T00:00:00"/>
    <d v="2022-04-28T00:00:00"/>
    <n v="674.02611410243503"/>
    <n v="3"/>
    <s v="Late"/>
    <n v="44.935074273495665"/>
    <n v="2.4913737799871695E-2"/>
    <n v="1.4836220423471978E-3"/>
    <n v="0.68"/>
    <n v="0"/>
    <n v="20.942783417267847"/>
  </r>
  <r>
    <x v="3"/>
    <x v="3"/>
    <x v="2"/>
    <n v="0.61"/>
    <x v="2"/>
    <s v="Late"/>
    <n v="1"/>
    <n v="575.01220000000001"/>
    <x v="2"/>
    <d v="2021-11-23T00:00:00"/>
    <n v="21.582095299403601"/>
    <d v="2021-12-11T00:00:00"/>
    <d v="2021-12-16T00:00:00"/>
    <n v="388.47771538926497"/>
    <n v="5"/>
    <s v="Late"/>
    <n v="21.582095299403608"/>
    <n v="0.85385314215744368"/>
    <n v="2.5741502289210426E-3"/>
    <n v="0.61"/>
    <n v="0"/>
    <n v="35.454287350016507"/>
  </r>
  <r>
    <x v="4"/>
    <x v="6"/>
    <x v="2"/>
    <n v="0.7"/>
    <x v="3"/>
    <s v="Late"/>
    <n v="1"/>
    <n v="251.98400000000001"/>
    <x v="6"/>
    <d v="2023-09-18T00:00:00"/>
    <n v="72.964698597219794"/>
    <d v="2023-10-03T00:00:00"/>
    <d v="2023-10-05T00:00:00"/>
    <n v="875.57638316663702"/>
    <n v="2"/>
    <s v="Late"/>
    <n v="72.964698597219751"/>
    <n v="0.7701599100200498"/>
    <n v="1.1421048114424565E-3"/>
    <n v="0.7"/>
    <n v="0"/>
    <n v="36.437461344744271"/>
  </r>
  <r>
    <x v="5"/>
    <x v="2"/>
    <x v="1"/>
    <n v="0.83"/>
    <x v="1"/>
    <s v="On Time"/>
    <n v="0"/>
    <n v="413.43199999999899"/>
    <x v="6"/>
    <d v="2023-04-03T00:00:00"/>
    <n v="13.994869634427699"/>
    <d v="2023-04-20T00:00:00"/>
    <d v="2023-04-26T00:00:00"/>
    <n v="181.93330524756001"/>
    <n v="6"/>
    <s v="Late"/>
    <n v="13.994869634427694"/>
    <n v="0.89249447361149459"/>
    <n v="5.4965197199011006E-3"/>
    <n v="0.83"/>
    <n v="1"/>
    <n v="62.914785063826926"/>
  </r>
  <r>
    <x v="6"/>
    <x v="7"/>
    <x v="1"/>
    <n v="0.62"/>
    <x v="2"/>
    <s v="Late"/>
    <n v="1"/>
    <n v="62.710199999999901"/>
    <x v="0"/>
    <d v="2023-05-10T00:00:00"/>
    <n v="26.1267603526932"/>
    <d v="2023-05-29T00:00:00"/>
    <d v="2023-05-28T00:00:00"/>
    <n v="313.52112423231802"/>
    <n v="-1"/>
    <s v="On Time"/>
    <n v="26.126760352693168"/>
    <n v="0.22787120067499916"/>
    <n v="3.1895777436004714E-3"/>
    <n v="0.62"/>
    <n v="0"/>
    <n v="23.253111345807998"/>
  </r>
  <r>
    <x v="7"/>
    <x v="5"/>
    <x v="2"/>
    <n v="0.79"/>
    <x v="1"/>
    <s v="Late"/>
    <n v="1"/>
    <n v="152.30879999999999"/>
    <x v="6"/>
    <d v="2021-08-27T00:00:00"/>
    <n v="66.139927810257106"/>
    <d v="2021-09-19T00:00:00"/>
    <d v="2021-09-20T00:00:00"/>
    <n v="793.67913372308499"/>
    <n v="1"/>
    <s v="Late"/>
    <n v="66.139927810257078"/>
    <n v="0.25671083927964661"/>
    <n v="1.2599550089077943E-3"/>
    <n v="0.79"/>
    <n v="0"/>
    <n v="28.872015435860167"/>
  </r>
  <r>
    <x v="8"/>
    <x v="4"/>
    <x v="2"/>
    <n v="0.83"/>
    <x v="0"/>
    <s v="Late"/>
    <n v="1"/>
    <n v="-160.185599999999"/>
    <x v="6"/>
    <d v="2021-12-11T00:00:00"/>
    <n v="54.3969375542029"/>
    <d v="2022-01-01T00:00:00"/>
    <d v="2022-01-06T00:00:00"/>
    <n v="652.763250650435"/>
    <n v="5"/>
    <s v="Late"/>
    <n v="54.396937554202914"/>
    <n v="0"/>
    <n v="1.531948986104176E-3"/>
    <n v="0.83"/>
    <n v="0"/>
    <n v="24.945958469583125"/>
  </r>
  <r>
    <x v="9"/>
    <x v="4"/>
    <x v="3"/>
    <n v="0.73"/>
    <x v="1"/>
    <s v="Late"/>
    <n v="1"/>
    <n v="261.48"/>
    <x v="1"/>
    <d v="2021-06-01T00:00:00"/>
    <n v="42.336624563572698"/>
    <d v="2021-06-23T00:00:00"/>
    <d v="2021-06-28T00:00:00"/>
    <n v="381.02962107215399"/>
    <n v="5"/>
    <s v="Late"/>
    <n v="42.336624563572663"/>
    <n v="0.62561010623026136"/>
    <n v="2.6244678751908218E-3"/>
    <n v="0.73"/>
    <n v="0"/>
    <n v="34.490936160860954"/>
  </r>
  <r>
    <x v="3"/>
    <x v="7"/>
    <x v="2"/>
    <n v="0.9"/>
    <x v="2"/>
    <s v="Late"/>
    <n v="1"/>
    <n v="383.33999999999901"/>
    <x v="0"/>
    <d v="2022-02-07T00:00:00"/>
    <n v="21.242869183196198"/>
    <d v="2022-02-26T00:00:00"/>
    <d v="2022-02-26T00:00:00"/>
    <n v="233.67156101515801"/>
    <n v="0"/>
    <s v="On Time"/>
    <n v="21.242869183196181"/>
    <n v="0.34277589999463404"/>
    <n v="4.2795109325911131E-3"/>
    <n v="0.9"/>
    <n v="0"/>
    <n v="33.983903327870415"/>
  </r>
  <r>
    <x v="4"/>
    <x v="3"/>
    <x v="3"/>
    <n v="0.64"/>
    <x v="1"/>
    <s v="Late"/>
    <n v="1"/>
    <n v="515.06880000000001"/>
    <x v="3"/>
    <d v="2021-07-20T00:00:00"/>
    <n v="72.785943452896404"/>
    <d v="2021-08-05T00:00:00"/>
    <d v="2021-08-11T00:00:00"/>
    <n v="582.28754762317101"/>
    <n v="6"/>
    <s v="Late"/>
    <n v="72.785943452896376"/>
    <n v="0.89603861184408296"/>
    <n v="1.7173645634049395E-3"/>
    <n v="0.64"/>
    <n v="0"/>
    <n v="37.172293173783814"/>
  </r>
  <r>
    <x v="5"/>
    <x v="1"/>
    <x v="0"/>
    <n v="0.63"/>
    <x v="0"/>
    <s v="Late"/>
    <n v="1"/>
    <n v="-27.569999999999901"/>
    <x v="3"/>
    <d v="2023-01-16T00:00:00"/>
    <n v="45.8455534159121"/>
    <d v="2023-01-28T00:00:00"/>
    <d v="2023-01-30T00:00:00"/>
    <n v="595.99219440685704"/>
    <n v="2"/>
    <s v="Late"/>
    <n v="45.845553415912079"/>
    <n v="0"/>
    <n v="1.6778743234971715E-3"/>
    <n v="0.63"/>
    <n v="0"/>
    <n v="18.950336229704913"/>
  </r>
  <r>
    <x v="6"/>
    <x v="2"/>
    <x v="2"/>
    <n v="0.88"/>
    <x v="2"/>
    <s v="Late"/>
    <n v="1"/>
    <n v="441.85119999999898"/>
    <x v="6"/>
    <d v="2023-07-05T00:00:00"/>
    <n v="78.964114537796704"/>
    <d v="2023-07-23T00:00:00"/>
    <d v="2023-07-24T00:00:00"/>
    <n v="789.64114537796695"/>
    <n v="1"/>
    <s v="Late"/>
    <n v="78.964114537796689"/>
    <n v="0.62053290549892992"/>
    <n v="1.2663980415069979E-3"/>
    <n v="0.88"/>
    <n v="0"/>
    <n v="38.848650051223807"/>
  </r>
  <r>
    <x v="7"/>
    <x v="0"/>
    <x v="0"/>
    <n v="0.79"/>
    <x v="1"/>
    <s v="Late"/>
    <n v="1"/>
    <n v="304.56779999999998"/>
    <x v="3"/>
    <d v="2021-12-12T00:00:00"/>
    <n v="61.406988726185197"/>
    <d v="2021-12-27T00:00:00"/>
    <d v="2022-01-02T00:00:00"/>
    <n v="1043.91880834514"/>
    <n v="6"/>
    <s v="Late"/>
    <n v="61.4069887261847"/>
    <n v="0.40501694309402358"/>
    <n v="9.5792890405455792E-4"/>
    <n v="0.79"/>
    <n v="0"/>
    <n v="31.829076729002111"/>
  </r>
  <r>
    <x v="8"/>
    <x v="6"/>
    <x v="1"/>
    <n v="0.87"/>
    <x v="0"/>
    <s v="Late"/>
    <n v="1"/>
    <n v="60.451599999999999"/>
    <x v="3"/>
    <d v="2023-01-21T00:00:00"/>
    <n v="70.319145110742099"/>
    <d v="2023-02-03T00:00:00"/>
    <d v="2023-02-07T00:00:00"/>
    <n v="984.46803155038901"/>
    <n v="4"/>
    <s v="Late"/>
    <n v="70.31914511074207"/>
    <n v="0.26751857313042876"/>
    <n v="1.0157770165732558E-3"/>
    <n v="0.87"/>
    <n v="0"/>
    <n v="31.480844773105776"/>
  </r>
  <r>
    <x v="9"/>
    <x v="0"/>
    <x v="1"/>
    <n v="0.77"/>
    <x v="3"/>
    <s v="Late"/>
    <n v="1"/>
    <n v="271.55359999999899"/>
    <x v="6"/>
    <d v="2023-10-08T00:00:00"/>
    <n v="76.222684235277001"/>
    <d v="2023-10-18T00:00:00"/>
    <d v="2023-10-21T00:00:00"/>
    <n v="990.89489505860195"/>
    <n v="3"/>
    <s v="Late"/>
    <n v="76.222684235277072"/>
    <n v="0.18107030569036581"/>
    <n v="1.0091887696533743E-3"/>
    <n v="0.77"/>
    <n v="0"/>
    <n v="26.75168177689692"/>
  </r>
  <r>
    <x v="0"/>
    <x v="7"/>
    <x v="2"/>
    <n v="0.7"/>
    <x v="0"/>
    <s v="Late"/>
    <n v="1"/>
    <n v="430.399799999999"/>
    <x v="3"/>
    <d v="2023-01-04T00:00:00"/>
    <n v="48.9609990193334"/>
    <d v="2023-01-23T00:00:00"/>
    <d v="2023-01-21T00:00:00"/>
    <n v="293.765994116"/>
    <n v="-2"/>
    <s v="On Time"/>
    <n v="48.960999019333336"/>
    <n v="0.8610065859832684"/>
    <n v="3.40406997416157E-3"/>
    <n v="0.7"/>
    <n v="0"/>
    <n v="38.322253818890218"/>
  </r>
  <r>
    <x v="1"/>
    <x v="4"/>
    <x v="2"/>
    <n v="0.92"/>
    <x v="1"/>
    <s v="Late"/>
    <n v="1"/>
    <n v="646.11"/>
    <x v="2"/>
    <d v="2021-08-23T00:00:00"/>
    <n v="46.801210101094597"/>
    <d v="2021-09-07T00:00:00"/>
    <d v="2021-09-07T00:00:00"/>
    <n v="514.81331111204099"/>
    <n v="0"/>
    <s v="On Time"/>
    <n v="46.801210101094632"/>
    <n v="0.44284137874312035"/>
    <n v="1.9424517167979088E-3"/>
    <n v="0.92"/>
    <n v="0"/>
    <n v="36.515101126366346"/>
  </r>
  <r>
    <x v="2"/>
    <x v="3"/>
    <x v="0"/>
    <n v="0.91"/>
    <x v="2"/>
    <s v="Late"/>
    <n v="1"/>
    <n v="760.71359999999902"/>
    <x v="4"/>
    <d v="2023-12-12T00:00:00"/>
    <n v="50.569539994648103"/>
    <d v="2024-01-02T00:00:00"/>
    <d v="2023-12-30T00:00:00"/>
    <n v="657.40401993042497"/>
    <n v="-3"/>
    <s v="On Time"/>
    <n v="50.569539994648075"/>
    <n v="0.6493868709246563"/>
    <n v="1.5211345986381906E-3"/>
    <n v="0.91"/>
    <n v="0"/>
    <n v="40.333371456452269"/>
  </r>
  <r>
    <x v="3"/>
    <x v="4"/>
    <x v="3"/>
    <n v="0.87"/>
    <x v="0"/>
    <s v="Late"/>
    <n v="1"/>
    <n v="169.10879999999901"/>
    <x v="0"/>
    <d v="2024-03-03T00:00:00"/>
    <n v="39.331025244566298"/>
    <d v="2024-03-17T00:00:00"/>
    <d v="2024-03-21T00:00:00"/>
    <n v="393.31025244566302"/>
    <n v="4"/>
    <s v="Late"/>
    <n v="39.331025244566305"/>
    <n v="0.1409241409241401"/>
    <n v="2.542522077118122E-3"/>
    <n v="0.87"/>
    <n v="0"/>
    <n v="28.994758480796349"/>
  </r>
  <r>
    <x v="4"/>
    <x v="6"/>
    <x v="1"/>
    <n v="0.71"/>
    <x v="3"/>
    <s v="Late"/>
    <n v="1"/>
    <n v="41.005799999999901"/>
    <x v="4"/>
    <d v="2022-08-15T00:00:00"/>
    <n v="44.349199773461201"/>
    <d v="2022-08-25T00:00:00"/>
    <d v="2022-08-23T00:00:00"/>
    <n v="266.09519864076702"/>
    <n v="-2"/>
    <s v="On Time"/>
    <n v="44.349199773461173"/>
    <n v="0.13080175236797401"/>
    <n v="3.7580535278654791E-3"/>
    <n v="0.71"/>
    <n v="0"/>
    <n v="24.028776653195443"/>
  </r>
  <r>
    <x v="5"/>
    <x v="4"/>
    <x v="1"/>
    <n v="0.83"/>
    <x v="0"/>
    <s v="On Time"/>
    <n v="0"/>
    <n v="243.479999999999"/>
    <x v="6"/>
    <d v="2024-03-26T00:00:00"/>
    <n v="33.598397872828002"/>
    <d v="2024-04-13T00:00:00"/>
    <d v="2024-04-10T00:00:00"/>
    <n v="571.17276383807598"/>
    <n v="-3"/>
    <s v="On Time"/>
    <n v="33.598397872828002"/>
    <n v="0.34595055413469594"/>
    <n v="1.7507837616071867E-3"/>
    <n v="0.83"/>
    <n v="1"/>
    <n v="51.871534595542137"/>
  </r>
  <r>
    <x v="6"/>
    <x v="4"/>
    <x v="3"/>
    <n v="0.74"/>
    <x v="1"/>
    <s v="Late"/>
    <n v="1"/>
    <n v="708.74399999999901"/>
    <x v="1"/>
    <d v="2023-12-31T00:00:00"/>
    <n v="53.590475238840902"/>
    <d v="2024-01-16T00:00:00"/>
    <d v="2024-01-14T00:00:00"/>
    <n v="535.90475238840895"/>
    <n v="-2"/>
    <s v="On Time"/>
    <n v="53.590475238840895"/>
    <n v="0.85955873792059601"/>
    <n v="1.866003231998263E-3"/>
    <n v="0.74"/>
    <n v="0"/>
    <n v="39.44715485537187"/>
  </r>
  <r>
    <x v="7"/>
    <x v="6"/>
    <x v="0"/>
    <n v="0.64"/>
    <x v="0"/>
    <s v="On Time"/>
    <n v="0"/>
    <n v="270.66719999999901"/>
    <x v="0"/>
    <d v="2021-07-11T00:00:00"/>
    <n v="19.7974276515348"/>
    <d v="2021-07-21T00:00:00"/>
    <d v="2021-07-25T00:00:00"/>
    <n v="257.36655946995199"/>
    <n v="4"/>
    <s v="Late"/>
    <n v="19.797427651534768"/>
    <n v="0.26481292764594716"/>
    <n v="3.8855086770383305E-3"/>
    <n v="0.64"/>
    <n v="1"/>
    <n v="44.612823813230094"/>
  </r>
  <r>
    <x v="8"/>
    <x v="2"/>
    <x v="0"/>
    <n v="0.96"/>
    <x v="2"/>
    <s v="Late"/>
    <n v="1"/>
    <n v="466.80829999999997"/>
    <x v="6"/>
    <d v="2024-01-22T00:00:00"/>
    <n v="57.656715960264002"/>
    <d v="2024-02-12T00:00:00"/>
    <d v="2024-02-17T00:00:00"/>
    <n v="288.28357980132"/>
    <n v="5"/>
    <s v="Late"/>
    <n v="57.656715960264002"/>
    <n v="0.37854386947831853"/>
    <n v="3.4688066545072822E-3"/>
    <n v="0.96"/>
    <n v="0"/>
    <n v="36.474941589201585"/>
  </r>
  <r>
    <x v="9"/>
    <x v="2"/>
    <x v="2"/>
    <n v="0.65"/>
    <x v="2"/>
    <s v="Late"/>
    <n v="1"/>
    <n v="803.02599999999995"/>
    <x v="1"/>
    <d v="2022-03-06T00:00:00"/>
    <n v="24.396748536321098"/>
    <d v="2022-03-29T00:00:00"/>
    <d v="2022-03-27T00:00:00"/>
    <n v="219.57073682689"/>
    <n v="-2"/>
    <s v="On Time"/>
    <n v="24.396748536321113"/>
    <n v="0.68929507054101469"/>
    <n v="4.5543409584146996E-3"/>
    <n v="0.65"/>
    <n v="0"/>
    <n v="33.422531639572739"/>
  </r>
  <r>
    <x v="3"/>
    <x v="6"/>
    <x v="2"/>
    <n v="0.97"/>
    <x v="2"/>
    <s v="Late"/>
    <n v="1"/>
    <n v="-52.721999999999902"/>
    <x v="4"/>
    <d v="2022-07-25T00:00:00"/>
    <n v="12.5441239764553"/>
    <d v="2022-08-12T00:00:00"/>
    <d v="2022-08-18T00:00:00"/>
    <n v="112.897115788097"/>
    <n v="6"/>
    <s v="Late"/>
    <n v="12.544123976455221"/>
    <n v="0"/>
    <n v="8.8576222077892293E-3"/>
    <n v="0.97"/>
    <n v="0"/>
    <n v="29.365728666233675"/>
  </r>
  <r>
    <x v="4"/>
    <x v="3"/>
    <x v="2"/>
    <n v="0.77"/>
    <x v="3"/>
    <s v="Late"/>
    <n v="1"/>
    <n v="301.26"/>
    <x v="6"/>
    <d v="2023-10-23T00:00:00"/>
    <n v="50.916990371373601"/>
    <d v="2023-11-07T00:00:00"/>
    <d v="2023-11-06T00:00:00"/>
    <n v="967.42281705609901"/>
    <n v="-1"/>
    <s v="On Time"/>
    <n v="50.916990371373629"/>
    <n v="0.31065418247813892"/>
    <n v="1.0336741932995073E-3"/>
    <n v="0.77"/>
    <n v="0"/>
    <n v="29.344093875361764"/>
  </r>
  <r>
    <x v="5"/>
    <x v="7"/>
    <x v="1"/>
    <n v="0.67"/>
    <x v="2"/>
    <s v="Late"/>
    <n v="1"/>
    <n v="743.57079999999996"/>
    <x v="0"/>
    <d v="2023-08-27T00:00:00"/>
    <n v="65.253314613269396"/>
    <d v="2023-09-09T00:00:00"/>
    <d v="2023-09-10T00:00:00"/>
    <n v="1044.0530338123101"/>
    <n v="1"/>
    <s v="Late"/>
    <n v="65.253314613269382"/>
    <n v="0.61127761051109941"/>
    <n v="9.5780575087124403E-4"/>
    <n v="0.67"/>
    <n v="0"/>
    <n v="32.354286382748128"/>
  </r>
  <r>
    <x v="6"/>
    <x v="5"/>
    <x v="2"/>
    <n v="0.81"/>
    <x v="2"/>
    <s v="Late"/>
    <n v="1"/>
    <n v="714.36599999999999"/>
    <x v="0"/>
    <d v="2022-04-05T00:00:00"/>
    <n v="31.600644196205401"/>
    <d v="2022-04-29T00:00:00"/>
    <d v="2022-05-03T00:00:00"/>
    <n v="379.20773035446501"/>
    <n v="4"/>
    <s v="Late"/>
    <n v="31.600644196205419"/>
    <n v="0.37166376355565545"/>
    <n v="2.6370770423515587E-3"/>
    <n v="0.81"/>
    <n v="0"/>
    <n v="31.812387582383657"/>
  </r>
  <r>
    <x v="7"/>
    <x v="4"/>
    <x v="0"/>
    <n v="0.94"/>
    <x v="1"/>
    <s v="Late"/>
    <n v="1"/>
    <n v="64.679599999999994"/>
    <x v="5"/>
    <d v="2022-08-05T00:00:00"/>
    <n v="44.121188608549502"/>
    <d v="2022-08-29T00:00:00"/>
    <d v="2022-08-30T00:00:00"/>
    <n v="705.93901773679204"/>
    <n v="1"/>
    <s v="Late"/>
    <n v="44.121188608549502"/>
    <n v="0.31281000688689242"/>
    <n v="1.4165529526983136E-3"/>
    <n v="0.94"/>
    <n v="0"/>
    <n v="34.498696726318798"/>
  </r>
  <r>
    <x v="8"/>
    <x v="3"/>
    <x v="3"/>
    <n v="0.89"/>
    <x v="1"/>
    <s v="Late"/>
    <n v="1"/>
    <n v="226.67219999999901"/>
    <x v="2"/>
    <d v="2021-10-24T00:00:00"/>
    <n v="77.714743876006906"/>
    <d v="2021-11-09T00:00:00"/>
    <d v="2021-11-15T00:00:00"/>
    <n v="932.57692651208299"/>
    <n v="6"/>
    <s v="Late"/>
    <n v="77.714743876006921"/>
    <n v="0.66390586200897017"/>
    <n v="1.0722975998774546E-3"/>
    <n v="0.89"/>
    <n v="0"/>
    <n v="40.010286168175732"/>
  </r>
  <r>
    <x v="9"/>
    <x v="4"/>
    <x v="0"/>
    <n v="0.91"/>
    <x v="1"/>
    <s v="On Time"/>
    <n v="0"/>
    <n v="426.74400000000003"/>
    <x v="3"/>
    <d v="2024-03-26T00:00:00"/>
    <n v="32.982414131690298"/>
    <d v="2024-04-08T00:00:00"/>
    <d v="2024-04-05T00:00:00"/>
    <n v="263.85931305352199"/>
    <n v="-3"/>
    <s v="On Time"/>
    <n v="32.982414131690248"/>
    <n v="0.44388044859859749"/>
    <n v="3.7898984440892449E-3"/>
    <n v="0.91"/>
    <n v="1"/>
    <n v="56.29130592529463"/>
  </r>
  <r>
    <x v="0"/>
    <x v="5"/>
    <x v="1"/>
    <n v="0.86"/>
    <x v="0"/>
    <s v="Late"/>
    <n v="1"/>
    <n v="129.50199999999899"/>
    <x v="1"/>
    <d v="2023-03-25T00:00:00"/>
    <n v="10.7378160208536"/>
    <d v="2023-04-16T00:00:00"/>
    <d v="2023-04-15T00:00:00"/>
    <n v="128.853792250243"/>
    <n v="-1"/>
    <s v="On Time"/>
    <n v="10.737816020853584"/>
    <n v="0.37163880136140809"/>
    <n v="7.7607339492029121E-3"/>
    <n v="0.86"/>
    <n v="0"/>
    <n v="33.465598045704247"/>
  </r>
  <r>
    <x v="1"/>
    <x v="7"/>
    <x v="0"/>
    <n v="0.87"/>
    <x v="3"/>
    <s v="Late"/>
    <n v="1"/>
    <n v="151.194999999999"/>
    <x v="5"/>
    <d v="2021-04-05T00:00:00"/>
    <n v="18.773070274429401"/>
    <d v="2021-04-19T00:00:00"/>
    <d v="2021-04-22T00:00:00"/>
    <n v="281.596054116441"/>
    <n v="3"/>
    <s v="Late"/>
    <n v="18.773070274429401"/>
    <n v="0.59154130558109352"/>
    <n v="3.5511861241723803E-3"/>
    <n v="0.87"/>
    <n v="0"/>
    <n v="38.037361695347045"/>
  </r>
  <r>
    <x v="2"/>
    <x v="2"/>
    <x v="2"/>
    <n v="0.93"/>
    <x v="0"/>
    <s v="Late"/>
    <n v="1"/>
    <n v="176.9024"/>
    <x v="3"/>
    <d v="2023-01-23T00:00:00"/>
    <n v="75.9848315865122"/>
    <d v="2023-02-16T00:00:00"/>
    <d v="2023-02-14T00:00:00"/>
    <n v="683.86348427861003"/>
    <n v="-2"/>
    <s v="On Time"/>
    <n v="75.984831586512229"/>
    <n v="0.40989252573784285"/>
    <n v="1.4622801523828607E-3"/>
    <n v="0.93"/>
    <n v="0"/>
    <n v="36.141718919328348"/>
  </r>
  <r>
    <x v="3"/>
    <x v="3"/>
    <x v="1"/>
    <n v="0.7"/>
    <x v="1"/>
    <s v="Late"/>
    <n v="1"/>
    <n v="100.80800000000001"/>
    <x v="3"/>
    <d v="2022-03-01T00:00:00"/>
    <n v="30.580378138631399"/>
    <d v="2022-03-17T00:00:00"/>
    <d v="2022-03-20T00:00:00"/>
    <n v="428.12529394083998"/>
    <n v="3"/>
    <s v="Late"/>
    <n v="30.580378138631428"/>
    <n v="0.33094337640508459"/>
    <n v="2.335764819674924E-3"/>
    <n v="0.7"/>
    <n v="0"/>
    <n v="27.688940472691936"/>
  </r>
  <r>
    <x v="4"/>
    <x v="1"/>
    <x v="3"/>
    <n v="0.79"/>
    <x v="2"/>
    <s v="On Time"/>
    <n v="0"/>
    <n v="213.2458"/>
    <x v="6"/>
    <d v="2024-01-27T00:00:00"/>
    <n v="58.601602282276097"/>
    <d v="2024-02-19T00:00:00"/>
    <d v="2024-02-18T00:00:00"/>
    <n v="586.01602282276099"/>
    <n v="-1"/>
    <s v="On Time"/>
    <n v="58.601602282276097"/>
    <n v="0.49834753349919542"/>
    <n v="1.7064379830147535E-3"/>
    <n v="0.79"/>
    <n v="1"/>
    <n v="53.718143809474348"/>
  </r>
  <r>
    <x v="5"/>
    <x v="1"/>
    <x v="2"/>
    <n v="0.69"/>
    <x v="2"/>
    <s v="On Time"/>
    <n v="0"/>
    <n v="-43.463399999999901"/>
    <x v="3"/>
    <d v="2021-04-11T00:00:00"/>
    <n v="42.0015463614046"/>
    <d v="2021-04-22T00:00:00"/>
    <d v="2021-04-21T00:00:00"/>
    <n v="672.02474178247405"/>
    <n v="-1"/>
    <s v="On Time"/>
    <n v="42.001546361404628"/>
    <n v="0"/>
    <n v="1.4880404512304212E-3"/>
    <n v="0.69"/>
    <n v="1"/>
    <n v="40.744641213536916"/>
  </r>
  <r>
    <x v="6"/>
    <x v="5"/>
    <x v="1"/>
    <n v="0.99"/>
    <x v="2"/>
    <s v="Late"/>
    <n v="1"/>
    <n v="165.613599999999"/>
    <x v="2"/>
    <d v="2021-08-30T00:00:00"/>
    <n v="43.451556839904299"/>
    <d v="2021-09-18T00:00:00"/>
    <d v="2021-09-23T00:00:00"/>
    <n v="521.41868207885102"/>
    <n v="5"/>
    <s v="Late"/>
    <n v="43.451556839904249"/>
    <n v="0.22472121118042657"/>
    <n v="1.917844592781154E-3"/>
    <n v="0.99"/>
    <n v="0"/>
    <n v="34.251959561391963"/>
  </r>
  <r>
    <x v="7"/>
    <x v="1"/>
    <x v="3"/>
    <n v="0.97"/>
    <x v="0"/>
    <s v="Late"/>
    <n v="1"/>
    <n v="210.4308"/>
    <x v="0"/>
    <d v="2022-05-09T00:00:00"/>
    <n v="13.6391232988671"/>
    <d v="2022-05-19T00:00:00"/>
    <d v="2022-05-21T00:00:00"/>
    <n v="150.03035628753801"/>
    <n v="2"/>
    <s v="Late"/>
    <n v="13.639123298867093"/>
    <n v="0.16311569876630028"/>
    <n v="6.6653177713146784E-3"/>
    <n v="0.97"/>
    <n v="0"/>
    <n v="32.562273508465438"/>
  </r>
  <r>
    <x v="8"/>
    <x v="2"/>
    <x v="2"/>
    <n v="0.62"/>
    <x v="3"/>
    <s v="Late"/>
    <n v="1"/>
    <n v="482.861999999999"/>
    <x v="5"/>
    <d v="2022-02-08T00:00:00"/>
    <n v="17.5238950156394"/>
    <d v="2022-03-03T00:00:00"/>
    <d v="2022-03-06T00:00:00"/>
    <n v="332.95400529714999"/>
    <n v="3"/>
    <s v="Late"/>
    <n v="17.523895015639471"/>
    <n v="0.5076868727013496"/>
    <n v="3.0034178417752758E-3"/>
    <n v="0.62"/>
    <n v="0"/>
    <n v="28.843839989280252"/>
  </r>
  <r>
    <x v="9"/>
    <x v="5"/>
    <x v="2"/>
    <n v="0.88"/>
    <x v="0"/>
    <s v="Late"/>
    <n v="1"/>
    <n v="543.85799999999995"/>
    <x v="3"/>
    <d v="2021-08-06T00:00:00"/>
    <n v="24.666606330173799"/>
    <d v="2021-08-29T00:00:00"/>
    <d v="2021-08-31T00:00:00"/>
    <n v="345.332488622433"/>
    <n v="2"/>
    <s v="Late"/>
    <n v="24.666606330173785"/>
    <n v="0.63474156705391338"/>
    <n v="2.8957599789961939E-3"/>
    <n v="0.88"/>
    <n v="0"/>
    <n v="39.181704140448161"/>
  </r>
  <r>
    <x v="7"/>
    <x v="2"/>
    <x v="1"/>
    <n v="0.96"/>
    <x v="1"/>
    <s v="Late"/>
    <n v="1"/>
    <n v="768.16319999999996"/>
    <x v="6"/>
    <d v="2022-03-26T00:00:00"/>
    <n v="18.314183821372801"/>
    <d v="2022-04-16T00:00:00"/>
    <d v="2022-04-15T00:00:00"/>
    <n v="91.570919106864295"/>
    <n v="-1"/>
    <s v="On Time"/>
    <n v="18.314183821372858"/>
    <n v="0.72137266082629203"/>
    <n v="1.092049757448638E-2"/>
    <n v="0.96"/>
    <n v="0"/>
    <n v="43.555068143760437"/>
  </r>
  <r>
    <x v="8"/>
    <x v="7"/>
    <x v="2"/>
    <n v="0.67"/>
    <x v="0"/>
    <s v="Late"/>
    <n v="1"/>
    <n v="15.993600000000001"/>
    <x v="2"/>
    <d v="2021-11-06T00:00:00"/>
    <n v="53.765544813275604"/>
    <d v="2021-11-27T00:00:00"/>
    <d v="2021-11-25T00:00:00"/>
    <n v="376.358813692929"/>
    <n v="-2"/>
    <s v="On Time"/>
    <n v="53.765544813275575"/>
    <n v="9.9776909371303665E-2"/>
    <n v="2.6570388778403885E-3"/>
    <n v="0.67"/>
    <n v="0"/>
    <n v="22.175249353761288"/>
  </r>
  <r>
    <x v="9"/>
    <x v="4"/>
    <x v="2"/>
    <n v="0.82"/>
    <x v="2"/>
    <s v="Late"/>
    <n v="1"/>
    <n v="-16.183999999999902"/>
    <x v="4"/>
    <d v="2021-10-29T00:00:00"/>
    <n v="42.674073886715099"/>
    <d v="2021-11-08T00:00:00"/>
    <d v="2021-11-09T00:00:00"/>
    <n v="341.39259109372102"/>
    <n v="1"/>
    <s v="Late"/>
    <n v="42.674073886715128"/>
    <n v="0"/>
    <n v="2.9291789748462187E-3"/>
    <n v="0.82"/>
    <n v="0"/>
    <n v="24.687875369245383"/>
  </r>
  <r>
    <x v="0"/>
    <x v="7"/>
    <x v="2"/>
    <n v="0.96"/>
    <x v="2"/>
    <s v="Late"/>
    <n v="1"/>
    <n v="652.43999999999903"/>
    <x v="0"/>
    <d v="2022-04-13T00:00:00"/>
    <n v="57.546394598965897"/>
    <d v="2022-05-03T00:00:00"/>
    <d v="2022-05-08T00:00:00"/>
    <n v="805.649524385522"/>
    <n v="5"/>
    <s v="Late"/>
    <n v="57.546394598965854"/>
    <n v="0.44852334598251353"/>
    <n v="1.2412345191449238E-3"/>
    <n v="0.96"/>
    <n v="0"/>
    <n v="37.807703955224618"/>
  </r>
  <r>
    <x v="1"/>
    <x v="7"/>
    <x v="3"/>
    <n v="0.61"/>
    <x v="0"/>
    <s v="Late"/>
    <n v="1"/>
    <n v="437.84480000000002"/>
    <x v="0"/>
    <d v="2022-11-20T00:00:00"/>
    <n v="22.324946433615199"/>
    <d v="2022-12-14T00:00:00"/>
    <d v="2022-12-20T00:00:00"/>
    <n v="245.57441076976701"/>
    <n v="6"/>
    <s v="Late"/>
    <n v="22.324946433615182"/>
    <n v="0.38710165674580721"/>
    <n v="4.0720855111305897E-3"/>
    <n v="0.61"/>
    <n v="0"/>
    <n v="26.164195700250058"/>
  </r>
  <r>
    <x v="2"/>
    <x v="2"/>
    <x v="0"/>
    <n v="0.87"/>
    <x v="3"/>
    <s v="Late"/>
    <n v="1"/>
    <n v="246.03199999999899"/>
    <x v="5"/>
    <d v="2022-06-19T00:00:00"/>
    <n v="8.9325810099818899"/>
    <d v="2022-07-11T00:00:00"/>
    <d v="2022-07-11T00:00:00"/>
    <n v="98.258391109800797"/>
    <n v="0"/>
    <s v="On Time"/>
    <n v="8.9325810099818899"/>
    <n v="0.90628867802203916"/>
    <n v="1.0177247853392288E-2"/>
    <n v="0.87"/>
    <n v="0"/>
    <n v="44.531090996042558"/>
  </r>
  <r>
    <x v="3"/>
    <x v="5"/>
    <x v="1"/>
    <n v="0.72"/>
    <x v="1"/>
    <s v="On Time"/>
    <n v="0"/>
    <n v="218.61599999999899"/>
    <x v="0"/>
    <d v="2022-10-16T00:00:00"/>
    <n v="69.149497454998397"/>
    <d v="2022-10-29T00:00:00"/>
    <d v="2022-11-01T00:00:00"/>
    <n v="760.64447200498296"/>
    <n v="3"/>
    <s v="Late"/>
    <n v="69.149497454998453"/>
    <n v="0.58828468096098929"/>
    <n v="1.314674643416654E-3"/>
    <n v="0.72"/>
    <n v="1"/>
    <n v="53.405133858522277"/>
  </r>
  <r>
    <x v="4"/>
    <x v="5"/>
    <x v="1"/>
    <n v="0.96"/>
    <x v="1"/>
    <s v="Late"/>
    <n v="1"/>
    <n v="34.168399999999998"/>
    <x v="3"/>
    <d v="2021-07-25T00:00:00"/>
    <n v="55.412622053014097"/>
    <d v="2021-08-13T00:00:00"/>
    <d v="2021-08-15T00:00:00"/>
    <n v="609.53884258315497"/>
    <n v="2"/>
    <s v="Late"/>
    <n v="55.41262205301409"/>
    <n v="0.11157086861515031"/>
    <n v="1.6405845372578979E-3"/>
    <n v="0.96"/>
    <n v="0"/>
    <n v="31.080634908420741"/>
  </r>
  <r>
    <x v="5"/>
    <x v="1"/>
    <x v="2"/>
    <n v="0.98"/>
    <x v="0"/>
    <s v="Late"/>
    <n v="1"/>
    <n v="172.19880000000001"/>
    <x v="6"/>
    <d v="2021-09-09T00:00:00"/>
    <n v="72.456000530530702"/>
    <d v="2021-10-03T00:00:00"/>
    <d v="2021-09-30T00:00:00"/>
    <n v="941.92800689689898"/>
    <n v="-3"/>
    <s v="On Time"/>
    <n v="72.456000530530687"/>
    <n v="0.40953027833983546"/>
    <n v="1.0616522628883434E-3"/>
    <n v="0.98"/>
    <n v="0"/>
    <n v="37.622455134683356"/>
  </r>
  <r>
    <x v="6"/>
    <x v="0"/>
    <x v="2"/>
    <n v="0.97"/>
    <x v="2"/>
    <s v="Late"/>
    <n v="1"/>
    <n v="133.04579999999899"/>
    <x v="0"/>
    <d v="2022-10-13T00:00:00"/>
    <n v="23.453692128211099"/>
    <d v="2022-11-02T00:00:00"/>
    <d v="2022-11-07T00:00:00"/>
    <n v="375.25907405137798"/>
    <n v="5"/>
    <s v="Late"/>
    <n v="23.453692128211124"/>
    <n v="0.19622527638328657"/>
    <n v="2.664825634204615E-3"/>
    <n v="0.97"/>
    <n v="0"/>
    <n v="33.104450296691866"/>
  </r>
  <r>
    <x v="7"/>
    <x v="4"/>
    <x v="1"/>
    <n v="0.78"/>
    <x v="3"/>
    <s v="Late"/>
    <n v="1"/>
    <n v="417.92839999999899"/>
    <x v="0"/>
    <d v="2021-04-12T00:00:00"/>
    <n v="47.1768713106215"/>
    <d v="2021-04-25T00:00:00"/>
    <d v="2021-04-23T00:00:00"/>
    <n v="566.12245572745803"/>
    <n v="-2"/>
    <s v="On Time"/>
    <n v="47.1768713106215"/>
    <n v="0.37240275860495681"/>
    <n v="1.76640228608317E-3"/>
    <n v="0.78"/>
    <n v="0"/>
    <n v="30.901047240681628"/>
  </r>
  <r>
    <x v="8"/>
    <x v="2"/>
    <x v="2"/>
    <n v="0.94"/>
    <x v="1"/>
    <s v="On Time"/>
    <n v="0"/>
    <n v="518.89679999999998"/>
    <x v="4"/>
    <d v="2021-03-14T00:00:00"/>
    <n v="35.709385557864898"/>
    <d v="2021-03-28T00:00:00"/>
    <d v="2021-03-30T00:00:00"/>
    <n v="499.93139781010802"/>
    <n v="2"/>
    <s v="Late"/>
    <n v="35.709385557864856"/>
    <n v="0.84851279595929474"/>
    <n v="2.0002744464148181E-3"/>
    <n v="0.94"/>
    <n v="1"/>
    <n v="65.230264152578329"/>
  </r>
  <r>
    <x v="9"/>
    <x v="1"/>
    <x v="3"/>
    <n v="0.93"/>
    <x v="1"/>
    <s v="On Time"/>
    <n v="0"/>
    <n v="344.70759999999899"/>
    <x v="4"/>
    <d v="2022-09-16T00:00:00"/>
    <n v="47.7364449868723"/>
    <d v="2022-10-02T00:00:00"/>
    <d v="2022-10-05T00:00:00"/>
    <n v="477.364449868723"/>
    <n v="3"/>
    <s v="Late"/>
    <n v="47.7364449868723"/>
    <n v="0.34445008911338126"/>
    <n v="2.0948355083312211E-3"/>
    <n v="0.93"/>
    <n v="1"/>
    <n v="54.851846847517564"/>
  </r>
  <r>
    <x v="0"/>
    <x v="3"/>
    <x v="1"/>
    <n v="0.72"/>
    <x v="0"/>
    <s v="Late"/>
    <n v="1"/>
    <n v="291.19"/>
    <x v="1"/>
    <d v="2023-12-26T00:00:00"/>
    <n v="16.5109485208107"/>
    <d v="2024-01-19T00:00:00"/>
    <d v="2024-01-24T00:00:00"/>
    <n v="231.15327929135"/>
    <n v="5"/>
    <s v="Late"/>
    <n v="16.510948520810715"/>
    <n v="0.48637859326195521"/>
    <n v="4.326133737170914E-3"/>
    <n v="0.72"/>
    <n v="0"/>
    <n v="31.457355877354232"/>
  </r>
  <r>
    <x v="1"/>
    <x v="0"/>
    <x v="2"/>
    <n v="0.92"/>
    <x v="1"/>
    <s v="Late"/>
    <n v="1"/>
    <n v="302.74919999999997"/>
    <x v="2"/>
    <d v="2023-03-24T00:00:00"/>
    <n v="61.853906661144201"/>
    <d v="2023-04-08T00:00:00"/>
    <d v="2023-04-13T00:00:00"/>
    <n v="494.83125328915298"/>
    <n v="5"/>
    <s v="Late"/>
    <n v="61.853906661144123"/>
    <n v="0.43215979691362144"/>
    <n v="2.0208909468692215E-3"/>
    <n v="0.92"/>
    <n v="0"/>
    <n v="36.303822666678506"/>
  </r>
  <r>
    <x v="2"/>
    <x v="0"/>
    <x v="1"/>
    <n v="0.61"/>
    <x v="2"/>
    <s v="Late"/>
    <n v="1"/>
    <n v="320.71199999999999"/>
    <x v="3"/>
    <d v="2023-12-10T00:00:00"/>
    <n v="7.6295519009686901"/>
    <d v="2023-12-22T00:00:00"/>
    <d v="2023-12-23T00:00:00"/>
    <n v="114.44327851452999"/>
    <n v="1"/>
    <s v="Late"/>
    <n v="7.6295519009686661"/>
    <n v="0.44635580199078095"/>
    <n v="8.737953097638999E-3"/>
    <n v="0.61"/>
    <n v="0"/>
    <n v="27.489254632744785"/>
  </r>
  <r>
    <x v="3"/>
    <x v="2"/>
    <x v="0"/>
    <n v="0.83"/>
    <x v="2"/>
    <s v="Late"/>
    <n v="1"/>
    <n v="750.93899999999996"/>
    <x v="0"/>
    <d v="2023-07-01T00:00:00"/>
    <n v="60.617780108022501"/>
    <d v="2023-07-24T00:00:00"/>
    <d v="2023-07-30T00:00:00"/>
    <n v="545.56002097220301"/>
    <n v="6"/>
    <s v="Late"/>
    <n v="60.617780108022558"/>
    <n v="0.39543730440456049"/>
    <n v="1.8329788869389154E-3"/>
    <n v="0.83"/>
    <n v="0"/>
    <n v="32.863735454699381"/>
  </r>
  <r>
    <x v="4"/>
    <x v="6"/>
    <x v="2"/>
    <n v="0.69"/>
    <x v="2"/>
    <s v="On Time"/>
    <n v="0"/>
    <n v="207.601"/>
    <x v="0"/>
    <d v="2022-01-31T00:00:00"/>
    <n v="48.687394948499097"/>
    <d v="2022-02-12T00:00:00"/>
    <d v="2022-02-18T00:00:00"/>
    <n v="681.62352927898803"/>
    <n v="6"/>
    <s v="Late"/>
    <n v="48.687394948499147"/>
    <n v="0.27496784772470501"/>
    <n v="1.4670855054809892E-3"/>
    <n v="0.69"/>
    <n v="1"/>
    <n v="46.243369519658536"/>
  </r>
  <r>
    <x v="5"/>
    <x v="4"/>
    <x v="1"/>
    <n v="0.65"/>
    <x v="2"/>
    <s v="Late"/>
    <n v="1"/>
    <n v="258.65879999999999"/>
    <x v="6"/>
    <d v="2022-08-25T00:00:00"/>
    <n v="17.5636955985809"/>
    <d v="2022-09-11T00:00:00"/>
    <d v="2022-09-11T00:00:00"/>
    <n v="245.89173838013301"/>
    <n v="0"/>
    <s v="On Time"/>
    <n v="17.563695598580928"/>
    <n v="0.34654235778514109"/>
    <n v="4.0668304132043002E-3"/>
    <n v="0.65"/>
    <n v="0"/>
    <n v="26.552852068098954"/>
  </r>
  <r>
    <x v="6"/>
    <x v="0"/>
    <x v="2"/>
    <n v="0.63"/>
    <x v="0"/>
    <s v="Late"/>
    <n v="1"/>
    <n v="482.01580000000001"/>
    <x v="1"/>
    <d v="2023-01-22T00:00:00"/>
    <n v="6.5956658913746997"/>
    <d v="2023-02-11T00:00:00"/>
    <d v="2023-02-08T00:00:00"/>
    <n v="65.956658913747006"/>
    <n v="-3"/>
    <s v="On Time"/>
    <n v="6.5956658913747006"/>
    <n v="0.5068058002758532"/>
    <n v="1.5161471433956688E-2"/>
    <n v="0.63"/>
    <n v="0"/>
    <n v="29.490960148535766"/>
  </r>
  <r>
    <x v="7"/>
    <x v="2"/>
    <x v="2"/>
    <n v="0.87"/>
    <x v="0"/>
    <s v="Late"/>
    <n v="1"/>
    <n v="658.62"/>
    <x v="2"/>
    <d v="2024-04-03T00:00:00"/>
    <n v="61.003926724613798"/>
    <d v="2024-04-26T00:00:00"/>
    <d v="2024-04-25T00:00:00"/>
    <n v="488.03141379690999"/>
    <n v="-1"/>
    <s v="On Time"/>
    <n v="61.003926724613748"/>
    <n v="0.83140195410134066"/>
    <n v="2.0490484254280837E-3"/>
    <n v="0.87"/>
    <n v="0"/>
    <n v="42.789510534789656"/>
  </r>
  <r>
    <x v="8"/>
    <x v="2"/>
    <x v="2"/>
    <n v="0.73"/>
    <x v="1"/>
    <s v="Late"/>
    <n v="1"/>
    <n v="358.00259999999997"/>
    <x v="1"/>
    <d v="2022-05-26T00:00:00"/>
    <n v="14.9936071932737"/>
    <d v="2022-06-12T00:00:00"/>
    <d v="2022-06-11T00:00:00"/>
    <n v="254.89132228565401"/>
    <n v="-1"/>
    <s v="On Time"/>
    <n v="14.993607193273766"/>
    <n v="0.42116337655755787"/>
    <n v="3.9232406620705214E-3"/>
    <n v="0.73"/>
    <n v="0"/>
    <n v="30.440964751013272"/>
  </r>
  <r>
    <x v="9"/>
    <x v="1"/>
    <x v="1"/>
    <n v="0.88"/>
    <x v="0"/>
    <s v="Late"/>
    <n v="1"/>
    <n v="55.590299999999999"/>
    <x v="5"/>
    <d v="2023-08-23T00:00:00"/>
    <n v="7.0163079545379201"/>
    <d v="2023-09-03T00:00:00"/>
    <d v="2023-08-31T00:00:00"/>
    <n v="56.130463636303297"/>
    <n v="-3"/>
    <s v="On Time"/>
    <n v="7.0163079545379121"/>
    <n v="0.44429481067420712"/>
    <n v="1.7815637627358445E-2"/>
    <n v="0.88"/>
    <n v="0"/>
    <n v="35.820365342304896"/>
  </r>
  <r>
    <x v="2"/>
    <x v="3"/>
    <x v="0"/>
    <n v="0.63"/>
    <x v="1"/>
    <s v="Late"/>
    <n v="1"/>
    <n v="-7.5460000000000402"/>
    <x v="2"/>
    <d v="2021-08-29T00:00:00"/>
    <n v="33.9894420656546"/>
    <d v="2021-09-13T00:00:00"/>
    <d v="2021-09-14T00:00:00"/>
    <n v="407.87330478785498"/>
    <n v="1"/>
    <s v="Late"/>
    <n v="33.989442065654579"/>
    <n v="0"/>
    <n v="2.4517417253382759E-3"/>
    <n v="0.63"/>
    <n v="0"/>
    <n v="18.973552251760147"/>
  </r>
  <r>
    <x v="3"/>
    <x v="6"/>
    <x v="2"/>
    <n v="0.72"/>
    <x v="3"/>
    <s v="Late"/>
    <n v="1"/>
    <n v="244.06019999999901"/>
    <x v="0"/>
    <d v="2021-10-24T00:00:00"/>
    <n v="26.8552954883429"/>
    <d v="2021-11-08T00:00:00"/>
    <d v="2021-11-10T00:00:00"/>
    <n v="402.82943232514299"/>
    <n v="2"/>
    <s v="Late"/>
    <n v="26.855295488342865"/>
    <n v="0.52065043064662708"/>
    <n v="2.4824402582203872E-3"/>
    <n v="0.72"/>
    <n v="0"/>
    <n v="32.087481820679152"/>
  </r>
  <r>
    <x v="4"/>
    <x v="4"/>
    <x v="1"/>
    <n v="0.81"/>
    <x v="3"/>
    <s v="Late"/>
    <n v="1"/>
    <n v="80.908000000000001"/>
    <x v="0"/>
    <d v="2022-11-07T00:00:00"/>
    <n v="49.255717471326001"/>
    <d v="2022-11-22T00:00:00"/>
    <d v="2022-11-20T00:00:00"/>
    <n v="443.30145724193397"/>
    <n v="-2"/>
    <s v="On Time"/>
    <n v="49.255717471325994"/>
    <n v="0.13397404902733528"/>
    <n v="2.2558012920184133E-3"/>
    <n v="0.81"/>
    <n v="0"/>
    <n v="27.047155019307255"/>
  </r>
  <r>
    <x v="5"/>
    <x v="5"/>
    <x v="2"/>
    <n v="0.91"/>
    <x v="3"/>
    <s v="Late"/>
    <n v="1"/>
    <n v="363.85759999999999"/>
    <x v="2"/>
    <d v="2023-09-05T00:00:00"/>
    <n v="34.954595770768002"/>
    <d v="2023-09-20T00:00:00"/>
    <d v="2023-09-26T00:00:00"/>
    <n v="384.50055347844801"/>
    <n v="6"/>
    <s v="Late"/>
    <n v="34.954595770768002"/>
    <n v="0.37232516789841286"/>
    <n v="2.6007764903153824E-3"/>
    <n v="0.91"/>
    <n v="0"/>
    <n v="34.824526652677726"/>
  </r>
  <r>
    <x v="6"/>
    <x v="7"/>
    <x v="3"/>
    <n v="0.72"/>
    <x v="2"/>
    <s v="On Time"/>
    <n v="0"/>
    <n v="534.27279999999996"/>
    <x v="0"/>
    <d v="2023-11-01T00:00:00"/>
    <n v="57.8533377384177"/>
    <d v="2023-11-25T00:00:00"/>
    <d v="2023-11-28T00:00:00"/>
    <n v="752.09339059942999"/>
    <n v="3"/>
    <s v="Late"/>
    <n v="57.853337738417693"/>
    <n v="0.64629294685878214"/>
    <n v="1.3296221087689452E-3"/>
    <n v="0.72"/>
    <n v="1"/>
    <n v="54.565747600438705"/>
  </r>
  <r>
    <x v="7"/>
    <x v="3"/>
    <x v="2"/>
    <n v="0.84"/>
    <x v="3"/>
    <s v="Late"/>
    <n v="1"/>
    <n v="473.71"/>
    <x v="3"/>
    <d v="2023-08-07T00:00:00"/>
    <n v="32.105452142544998"/>
    <d v="2023-08-26T00:00:00"/>
    <d v="2023-08-29T00:00:00"/>
    <n v="353.159973567995"/>
    <n v="3"/>
    <s v="Late"/>
    <n v="32.105452142544998"/>
    <n v="0.69769942264640028"/>
    <n v="2.8315779670525626E-3"/>
    <n v="0.84"/>
    <n v="0"/>
    <n v="39.238935791939582"/>
  </r>
  <r>
    <x v="8"/>
    <x v="3"/>
    <x v="3"/>
    <n v="0.95"/>
    <x v="3"/>
    <s v="Late"/>
    <n v="1"/>
    <n v="292.72480000000002"/>
    <x v="2"/>
    <d v="2021-11-01T00:00:00"/>
    <n v="72.554828660664697"/>
    <d v="2021-11-21T00:00:00"/>
    <d v="2021-11-25T00:00:00"/>
    <n v="1088.32242990997"/>
    <n v="4"/>
    <s v="Late"/>
    <n v="72.554828660664668"/>
    <n v="0.37780457735935558"/>
    <n v="9.1884534630304706E-4"/>
    <n v="0.95"/>
    <n v="0"/>
    <n v="36.083656907576199"/>
  </r>
  <r>
    <x v="9"/>
    <x v="1"/>
    <x v="1"/>
    <n v="0.84"/>
    <x v="2"/>
    <s v="Late"/>
    <n v="1"/>
    <n v="472.35120000000001"/>
    <x v="1"/>
    <d v="2022-06-16T00:00:00"/>
    <n v="63.5711761660164"/>
    <d v="2022-07-10T00:00:00"/>
    <d v="2022-07-15T00:00:00"/>
    <n v="762.85411399219697"/>
    <n v="5"/>
    <s v="Late"/>
    <n v="63.571176166016414"/>
    <n v="0.31235795634895447"/>
    <n v="1.3108666279149524E-3"/>
    <n v="0.84"/>
    <n v="0"/>
    <n v="31.486485125816539"/>
  </r>
  <r>
    <x v="0"/>
    <x v="5"/>
    <x v="0"/>
    <n v="0.69"/>
    <x v="3"/>
    <s v="Late"/>
    <n v="1"/>
    <n v="55.905000000000001"/>
    <x v="2"/>
    <d v="2022-11-21T00:00:00"/>
    <n v="49.4881192903133"/>
    <d v="2022-12-05T00:00:00"/>
    <d v="2022-12-10T00:00:00"/>
    <n v="791.80990864501302"/>
    <n v="5"/>
    <s v="Late"/>
    <n v="49.488119290313314"/>
    <n v="7.2485753739035735E-2"/>
    <n v="1.262929383785122E-3"/>
    <n v="0.69"/>
    <n v="0"/>
    <n v="22.187602956294267"/>
  </r>
  <r>
    <x v="1"/>
    <x v="0"/>
    <x v="2"/>
    <n v="0.61"/>
    <x v="3"/>
    <s v="Late"/>
    <n v="1"/>
    <n v="-150.790199999999"/>
    <x v="0"/>
    <d v="2024-04-14T00:00:00"/>
    <n v="27.064873600349401"/>
    <d v="2024-04-25T00:00:00"/>
    <d v="2024-04-23T00:00:00"/>
    <n v="216.51898880279501"/>
    <n v="-2"/>
    <s v="On Time"/>
    <n v="27.064873600349376"/>
    <n v="0"/>
    <n v="4.6185325616442709E-3"/>
    <n v="0.61"/>
    <n v="0"/>
    <n v="18.438555976849326"/>
  </r>
  <r>
    <x v="2"/>
    <x v="0"/>
    <x v="2"/>
    <n v="0.94"/>
    <x v="2"/>
    <s v="Late"/>
    <n v="1"/>
    <n v="635.98799999999903"/>
    <x v="3"/>
    <d v="2021-04-17T00:00:00"/>
    <n v="72.365387115559798"/>
    <d v="2021-04-28T00:00:00"/>
    <d v="2021-04-30T00:00:00"/>
    <n v="434.19232269335799"/>
    <n v="2"/>
    <s v="Late"/>
    <n v="72.36538711555967"/>
    <n v="0.24682957726144458"/>
    <n v="2.3031268581555171E-3"/>
    <n v="0.94"/>
    <n v="0"/>
    <n v="33.205685350973553"/>
  </r>
  <r>
    <x v="3"/>
    <x v="1"/>
    <x v="2"/>
    <n v="0.61"/>
    <x v="3"/>
    <s v="Late"/>
    <n v="1"/>
    <n v="-8.7225000000000197"/>
    <x v="3"/>
    <d v="2021-12-18T00:00:00"/>
    <n v="57.543164695051701"/>
    <d v="2022-01-04T00:00:00"/>
    <d v="2022-01-06T00:00:00"/>
    <n v="517.88848225546599"/>
    <n v="2"/>
    <s v="Late"/>
    <n v="57.543164695051779"/>
    <n v="0"/>
    <n v="1.9309176285305302E-3"/>
    <n v="0.61"/>
    <n v="0"/>
    <n v="18.357927528855917"/>
  </r>
  <r>
    <x v="4"/>
    <x v="2"/>
    <x v="1"/>
    <n v="0.94"/>
    <x v="2"/>
    <s v="Late"/>
    <n v="1"/>
    <n v="16.672999999999998"/>
    <x v="5"/>
    <d v="2024-04-04T00:00:00"/>
    <n v="63.874835014399402"/>
    <d v="2024-04-15T00:00:00"/>
    <d v="2024-04-20T00:00:00"/>
    <n v="447.12384510079602"/>
    <n v="5"/>
    <s v="Late"/>
    <n v="63.87483501439943"/>
    <n v="4.6459332410072642E-2"/>
    <n v="2.2365168195728142E-3"/>
    <n v="0.94"/>
    <n v="0"/>
    <n v="29.196282152788633"/>
  </r>
  <r>
    <x v="5"/>
    <x v="0"/>
    <x v="2"/>
    <n v="0.81"/>
    <x v="1"/>
    <s v="Late"/>
    <n v="1"/>
    <n v="542.88049999999896"/>
    <x v="1"/>
    <d v="2023-09-03T00:00:00"/>
    <n v="66.816229257996397"/>
    <d v="2023-09-20T00:00:00"/>
    <d v="2023-09-21T00:00:00"/>
    <n v="801.79475109595705"/>
    <n v="1"/>
    <s v="Late"/>
    <n v="66.816229257996426"/>
    <n v="0.67895665289486129"/>
    <n v="1.2472019786025292E-3"/>
    <n v="0.81"/>
    <n v="0"/>
    <n v="37.916549117255308"/>
  </r>
  <r>
    <x v="6"/>
    <x v="6"/>
    <x v="2"/>
    <n v="0.97"/>
    <x v="0"/>
    <s v="Late"/>
    <n v="1"/>
    <n v="207.536"/>
    <x v="4"/>
    <d v="2023-08-16T00:00:00"/>
    <n v="33.004088964093"/>
    <d v="2023-09-03T00:00:00"/>
    <d v="2023-08-31T00:00:00"/>
    <n v="627.07769031776797"/>
    <n v="-3"/>
    <s v="On Time"/>
    <n v="33.00408896409305"/>
    <n v="0.77526746757515985"/>
    <n v="1.5946987358029846E-3"/>
    <n v="0.97"/>
    <n v="0"/>
    <n v="44.653190313577284"/>
  </r>
  <r>
    <x v="7"/>
    <x v="4"/>
    <x v="1"/>
    <n v="0.91"/>
    <x v="1"/>
    <s v="Late"/>
    <n v="1"/>
    <n v="11.087999999999999"/>
    <x v="4"/>
    <d v="2023-11-28T00:00:00"/>
    <n v="35.535035457771599"/>
    <d v="2023-12-15T00:00:00"/>
    <d v="2023-12-20T00:00:00"/>
    <n v="319.81531911994398"/>
    <n v="5"/>
    <s v="Late"/>
    <n v="35.535035457771556"/>
    <n v="2.2620815720324459E-2"/>
    <n v="3.1268045656842303E-3"/>
    <n v="0.91"/>
    <n v="0"/>
    <n v="27.846220451377018"/>
  </r>
  <r>
    <x v="8"/>
    <x v="3"/>
    <x v="2"/>
    <n v="0.99"/>
    <x v="1"/>
    <s v="On Time"/>
    <n v="0"/>
    <n v="456.551999999999"/>
    <x v="2"/>
    <d v="2021-04-15T00:00:00"/>
    <n v="26.5713504170104"/>
    <d v="2021-04-27T00:00:00"/>
    <d v="2021-05-03T00:00:00"/>
    <n v="132.85675208505199"/>
    <n v="6"/>
    <s v="Late"/>
    <n v="26.5713504170104"/>
    <n v="0.63775647043046668"/>
    <n v="7.5269038592771093E-3"/>
    <n v="0.99"/>
    <n v="1"/>
    <n v="62.680936524387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16B9E2-D76E-415A-BC7B-5B291B53507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
  <location ref="A9:B20" firstHeaderRow="1" firstDataRow="1" firstDataCol="1"/>
  <pivotFields count="22">
    <pivotField axis="axisRow" showAll="0" sortType="descending">
      <items count="11">
        <item x="2"/>
        <item x="0"/>
        <item x="1"/>
        <item x="4"/>
        <item x="5"/>
        <item x="8"/>
        <item x="7"/>
        <item x="9"/>
        <item x="3"/>
        <item x="6"/>
        <item t="default"/>
      </items>
      <autoSortScope>
        <pivotArea dataOnly="0" outline="0" fieldPosition="0">
          <references count="1">
            <reference field="4294967294" count="1" selected="0">
              <x v="0"/>
            </reference>
          </references>
        </pivotArea>
      </autoSortScope>
    </pivotField>
    <pivotField showAll="0">
      <items count="9">
        <item x="7"/>
        <item x="3"/>
        <item x="1"/>
        <item x="4"/>
        <item x="6"/>
        <item x="2"/>
        <item x="5"/>
        <item x="0"/>
        <item t="default"/>
      </items>
    </pivotField>
    <pivotField showAll="0">
      <items count="5">
        <item x="3"/>
        <item x="2"/>
        <item x="1"/>
        <item x="0"/>
        <item t="default"/>
      </items>
    </pivotField>
    <pivotField showAll="0"/>
    <pivotField showAll="0">
      <items count="5">
        <item x="2"/>
        <item x="3"/>
        <item x="1"/>
        <item x="0"/>
        <item t="default"/>
      </items>
    </pivotField>
    <pivotField showAll="0"/>
    <pivotField showAll="0"/>
    <pivotField showAll="0"/>
    <pivotField showAll="0">
      <items count="8">
        <item x="4"/>
        <item x="1"/>
        <item x="6"/>
        <item x="0"/>
        <item x="3"/>
        <item x="5"/>
        <item x="2"/>
        <item t="default"/>
      </items>
    </pivotField>
    <pivotField numFmtId="14" showAll="0"/>
    <pivotField showAll="0"/>
    <pivotField numFmtId="14" showAll="0"/>
    <pivotField numFmtId="14" showAll="0"/>
    <pivotField showAll="0"/>
    <pivotField showAll="0"/>
    <pivotField showAll="0"/>
    <pivotField showAll="0"/>
    <pivotField showAll="0"/>
    <pivotField showAll="0"/>
    <pivotField showAll="0"/>
    <pivotField showAll="0"/>
    <pivotField dataField="1" showAll="0"/>
  </pivotFields>
  <rowFields count="1">
    <field x="0"/>
  </rowFields>
  <rowItems count="11">
    <i>
      <x v="5"/>
    </i>
    <i>
      <x v="7"/>
    </i>
    <i>
      <x v="6"/>
    </i>
    <i>
      <x v="4"/>
    </i>
    <i>
      <x v="9"/>
    </i>
    <i>
      <x v="3"/>
    </i>
    <i>
      <x v="8"/>
    </i>
    <i>
      <x/>
    </i>
    <i>
      <x v="1"/>
    </i>
    <i>
      <x v="2"/>
    </i>
    <i t="grand">
      <x/>
    </i>
  </rowItems>
  <colItems count="1">
    <i/>
  </colItems>
  <dataFields count="1">
    <dataField name="Sum of Vendor Score"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BA106E-ADE4-4C57-996B-598AF2B9DB4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
  <location ref="D9:E20" firstHeaderRow="1" firstDataRow="1" firstDataCol="1"/>
  <pivotFields count="22">
    <pivotField axis="axisRow" showAll="0" sortType="descending">
      <items count="11">
        <item x="2"/>
        <item x="0"/>
        <item x="1"/>
        <item x="4"/>
        <item x="5"/>
        <item x="8"/>
        <item x="7"/>
        <item x="9"/>
        <item x="3"/>
        <item x="6"/>
        <item t="default"/>
      </items>
      <autoSortScope>
        <pivotArea dataOnly="0" outline="0" fieldPosition="0">
          <references count="1">
            <reference field="4294967294" count="1" selected="0">
              <x v="0"/>
            </reference>
          </references>
        </pivotArea>
      </autoSortScope>
    </pivotField>
    <pivotField showAll="0">
      <items count="9">
        <item x="7"/>
        <item x="3"/>
        <item x="1"/>
        <item x="4"/>
        <item x="6"/>
        <item x="2"/>
        <item x="5"/>
        <item x="0"/>
        <item t="default"/>
      </items>
    </pivotField>
    <pivotField showAll="0">
      <items count="5">
        <item x="3"/>
        <item x="2"/>
        <item x="1"/>
        <item x="0"/>
        <item t="default"/>
      </items>
    </pivotField>
    <pivotField showAll="0"/>
    <pivotField showAll="0">
      <items count="5">
        <item x="2"/>
        <item x="3"/>
        <item x="1"/>
        <item x="0"/>
        <item t="default"/>
      </items>
    </pivotField>
    <pivotField showAll="0"/>
    <pivotField showAll="0"/>
    <pivotField showAll="0"/>
    <pivotField showAll="0">
      <items count="8">
        <item x="4"/>
        <item x="1"/>
        <item x="6"/>
        <item x="0"/>
        <item x="3"/>
        <item x="5"/>
        <item x="2"/>
        <item t="default"/>
      </items>
    </pivotField>
    <pivotField numFmtId="14" showAll="0"/>
    <pivotField showAll="0"/>
    <pivotField numFmtId="14" showAll="0"/>
    <pivotField numFmtId="14" showAll="0"/>
    <pivotField showAll="0"/>
    <pivotField showAll="0"/>
    <pivotField showAll="0"/>
    <pivotField showAll="0"/>
    <pivotField dataField="1" showAll="0"/>
    <pivotField showAll="0"/>
    <pivotField showAll="0"/>
    <pivotField showAll="0"/>
    <pivotField showAll="0"/>
  </pivotFields>
  <rowFields count="1">
    <field x="0"/>
  </rowFields>
  <rowItems count="11">
    <i>
      <x v="5"/>
    </i>
    <i>
      <x v="9"/>
    </i>
    <i>
      <x v="7"/>
    </i>
    <i>
      <x v="6"/>
    </i>
    <i>
      <x v="3"/>
    </i>
    <i>
      <x v="4"/>
    </i>
    <i>
      <x v="8"/>
    </i>
    <i>
      <x/>
    </i>
    <i>
      <x v="2"/>
    </i>
    <i>
      <x v="1"/>
    </i>
    <i t="grand">
      <x/>
    </i>
  </rowItems>
  <colItems count="1">
    <i/>
  </colItems>
  <dataFields count="1">
    <dataField name="Profit Margin"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A4AEDC-AE1B-402E-BB13-D57DBC6BDE0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22">
    <pivotField showAll="0"/>
    <pivotField showAll="0">
      <items count="9">
        <item x="7"/>
        <item x="3"/>
        <item x="1"/>
        <item x="4"/>
        <item x="6"/>
        <item x="2"/>
        <item x="5"/>
        <item x="0"/>
        <item t="default"/>
      </items>
    </pivotField>
    <pivotField showAll="0">
      <items count="5">
        <item x="3"/>
        <item x="2"/>
        <item x="1"/>
        <item x="0"/>
        <item t="default"/>
      </items>
    </pivotField>
    <pivotField showAll="0"/>
    <pivotField showAll="0">
      <items count="5">
        <item x="2"/>
        <item x="3"/>
        <item x="1"/>
        <item x="0"/>
        <item t="default"/>
      </items>
    </pivotField>
    <pivotField showAll="0"/>
    <pivotField showAll="0"/>
    <pivotField showAll="0"/>
    <pivotField showAll="0">
      <items count="8">
        <item x="4"/>
        <item x="1"/>
        <item x="6"/>
        <item x="0"/>
        <item x="3"/>
        <item x="5"/>
        <item x="2"/>
        <item t="default"/>
      </items>
    </pivotField>
    <pivotField numFmtId="14" showAll="0"/>
    <pivotField showAll="0"/>
    <pivotField numFmtId="14" showAll="0"/>
    <pivotField numFmtId="14"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Delivery Delay" fld="14" subtotal="average" baseField="0" baseItem="0" numFmtId="1"/>
  </dataFields>
  <formats count="8">
    <format dxfId="7">
      <pivotArea outline="0" collapsedLevelsAreSubtotals="1" fieldPosition="0"/>
    </format>
    <format dxfId="6">
      <pivotArea dataOnly="0" labelOnly="1" outline="0" axis="axisValues" fieldPosition="0"/>
    </format>
    <format dxfId="5">
      <pivotArea dataOnly="0" labelOnly="1" outline="0" axis="axisValues" fieldPosition="0"/>
    </format>
    <format dxfId="4">
      <pivotArea dataOnly="0" labelOnly="1" outline="0" axis="axisValues" fieldPosition="0"/>
    </format>
    <format dxfId="3">
      <pivotArea outline="0" collapsedLevelsAreSubtotals="1"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8EE398-6DD5-4FC4-BD86-CE483609262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2">
    <pivotField showAll="0"/>
    <pivotField showAll="0">
      <items count="9">
        <item x="7"/>
        <item x="3"/>
        <item x="1"/>
        <item x="4"/>
        <item x="6"/>
        <item x="2"/>
        <item x="5"/>
        <item x="0"/>
        <item t="default"/>
      </items>
    </pivotField>
    <pivotField showAll="0">
      <items count="5">
        <item x="3"/>
        <item x="2"/>
        <item x="1"/>
        <item x="0"/>
        <item t="default"/>
      </items>
    </pivotField>
    <pivotField showAll="0"/>
    <pivotField showAll="0">
      <items count="5">
        <item x="2"/>
        <item x="3"/>
        <item x="1"/>
        <item x="0"/>
        <item t="default"/>
      </items>
    </pivotField>
    <pivotField showAll="0"/>
    <pivotField showAll="0"/>
    <pivotField showAll="0"/>
    <pivotField showAll="0">
      <items count="8">
        <item x="4"/>
        <item x="1"/>
        <item x="6"/>
        <item x="0"/>
        <item x="3"/>
        <item x="5"/>
        <item x="2"/>
        <item t="default"/>
      </items>
    </pivotField>
    <pivotField numFmtId="14" showAll="0"/>
    <pivotField showAll="0"/>
    <pivotField numFmtId="14" showAll="0"/>
    <pivotField numFmtId="14"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Total Procurement Spend" fld="13" baseField="0" baseItem="0" numFmtId="164"/>
  </dataFields>
  <formats count="8">
    <format dxfId="15">
      <pivotArea outline="0" collapsedLevelsAreSubtotals="1" fieldPosition="0"/>
    </format>
    <format dxfId="14">
      <pivotArea dataOnly="0" labelOnly="1" outline="0" axis="axisValues" fieldPosition="0"/>
    </format>
    <format dxfId="13">
      <pivotArea dataOnly="0" labelOnly="1" outline="0" axis="axisValues" fieldPosition="0"/>
    </format>
    <format dxfId="12">
      <pivotArea dataOnly="0" labelOnly="1" outline="0" axis="axisValues" fieldPosition="0"/>
    </format>
    <format dxfId="11">
      <pivotArea outline="0" collapsedLevelsAreSubtotals="1" fieldPosition="0"/>
    </format>
    <format dxfId="10">
      <pivotArea type="all" dataOnly="0" outline="0" fieldPosition="0"/>
    </format>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BFD236-3BD0-455D-ABA3-268BFF4C6F2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B25" firstHeaderRow="1" firstDataRow="1" firstDataCol="1"/>
  <pivotFields count="22">
    <pivotField axis="axisRow" showAll="0" sortType="ascending">
      <items count="11">
        <item x="2"/>
        <item x="0"/>
        <item x="1"/>
        <item x="4"/>
        <item x="5"/>
        <item x="8"/>
        <item x="7"/>
        <item x="9"/>
        <item x="3"/>
        <item x="6"/>
        <item t="default"/>
      </items>
      <autoSortScope>
        <pivotArea dataOnly="0" outline="0" fieldPosition="0">
          <references count="1">
            <reference field="4294967294" count="1" selected="0">
              <x v="0"/>
            </reference>
          </references>
        </pivotArea>
      </autoSortScope>
    </pivotField>
    <pivotField showAll="0">
      <items count="9">
        <item x="7"/>
        <item x="3"/>
        <item x="1"/>
        <item x="4"/>
        <item x="6"/>
        <item x="2"/>
        <item x="5"/>
        <item x="0"/>
        <item t="default"/>
      </items>
    </pivotField>
    <pivotField showAll="0">
      <items count="5">
        <item x="3"/>
        <item x="2"/>
        <item x="1"/>
        <item x="0"/>
        <item t="default"/>
      </items>
    </pivotField>
    <pivotField dataField="1" showAll="0"/>
    <pivotField showAll="0">
      <items count="5">
        <item x="2"/>
        <item x="3"/>
        <item x="1"/>
        <item x="0"/>
        <item t="default"/>
      </items>
    </pivotField>
    <pivotField showAll="0"/>
    <pivotField showAll="0"/>
    <pivotField showAll="0"/>
    <pivotField showAll="0">
      <items count="8">
        <item x="4"/>
        <item x="1"/>
        <item x="6"/>
        <item x="0"/>
        <item x="3"/>
        <item x="5"/>
        <item x="2"/>
        <item t="default"/>
      </items>
    </pivotField>
    <pivotField numFmtId="14"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s>
  <rowFields count="1">
    <field x="0"/>
  </rowFields>
  <rowItems count="11">
    <i>
      <x v="8"/>
    </i>
    <i>
      <x v="1"/>
    </i>
    <i>
      <x/>
    </i>
    <i>
      <x v="7"/>
    </i>
    <i>
      <x v="9"/>
    </i>
    <i>
      <x v="6"/>
    </i>
    <i>
      <x v="3"/>
    </i>
    <i>
      <x v="5"/>
    </i>
    <i>
      <x v="4"/>
    </i>
    <i>
      <x v="2"/>
    </i>
    <i t="grand">
      <x/>
    </i>
  </rowItems>
  <colItems count="1">
    <i/>
  </colItems>
  <dataFields count="1">
    <dataField name="Average of On_Time_Delivery_Rate" fld="3" subtotal="average" baseField="0" baseItem="0" numFmtId="9"/>
  </dataFields>
  <formats count="1">
    <format dxfId="2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34D832-9952-4A48-B387-6443507E8A1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7:F38" firstHeaderRow="1" firstDataRow="1" firstDataCol="1"/>
  <pivotFields count="22">
    <pivotField axis="axisRow" showAll="0" sortType="ascending">
      <items count="11">
        <item x="2"/>
        <item x="0"/>
        <item x="1"/>
        <item x="4"/>
        <item x="5"/>
        <item x="8"/>
        <item x="7"/>
        <item x="9"/>
        <item x="3"/>
        <item x="6"/>
        <item t="default"/>
      </items>
      <autoSortScope>
        <pivotArea dataOnly="0" outline="0" fieldPosition="0">
          <references count="1">
            <reference field="4294967294" count="1" selected="0">
              <x v="0"/>
            </reference>
          </references>
        </pivotArea>
      </autoSortScope>
    </pivotField>
    <pivotField showAll="0">
      <items count="9">
        <item x="7"/>
        <item x="3"/>
        <item x="1"/>
        <item x="4"/>
        <item x="6"/>
        <item x="2"/>
        <item x="5"/>
        <item x="0"/>
        <item t="default"/>
      </items>
    </pivotField>
    <pivotField showAll="0">
      <items count="5">
        <item x="3"/>
        <item x="2"/>
        <item x="1"/>
        <item x="0"/>
        <item t="default"/>
      </items>
    </pivotField>
    <pivotField showAll="0"/>
    <pivotField showAll="0">
      <items count="5">
        <item x="2"/>
        <item x="3"/>
        <item x="1"/>
        <item x="0"/>
        <item t="default"/>
      </items>
    </pivotField>
    <pivotField showAll="0"/>
    <pivotField showAll="0"/>
    <pivotField showAll="0"/>
    <pivotField showAll="0">
      <items count="8">
        <item x="4"/>
        <item x="1"/>
        <item x="6"/>
        <item x="0"/>
        <item x="3"/>
        <item x="5"/>
        <item x="2"/>
        <item t="default"/>
      </items>
    </pivotField>
    <pivotField numFmtId="14" showAll="0"/>
    <pivotField showAll="0"/>
    <pivotField numFmtId="14" showAll="0"/>
    <pivotField numFmtId="14" showAll="0"/>
    <pivotField showAll="0"/>
    <pivotField showAll="0"/>
    <pivotField showAll="0"/>
    <pivotField showAll="0"/>
    <pivotField showAll="0"/>
    <pivotField showAll="0"/>
    <pivotField showAll="0"/>
    <pivotField showAll="0"/>
    <pivotField dataField="1" showAll="0"/>
  </pivotFields>
  <rowFields count="1">
    <field x="0"/>
  </rowFields>
  <rowItems count="11">
    <i>
      <x v="8"/>
    </i>
    <i>
      <x v="6"/>
    </i>
    <i>
      <x v="2"/>
    </i>
    <i>
      <x v="1"/>
    </i>
    <i>
      <x v="7"/>
    </i>
    <i>
      <x v="9"/>
    </i>
    <i>
      <x v="4"/>
    </i>
    <i>
      <x/>
    </i>
    <i>
      <x v="5"/>
    </i>
    <i>
      <x v="3"/>
    </i>
    <i t="grand">
      <x/>
    </i>
  </rowItems>
  <colItems count="1">
    <i/>
  </colItems>
  <dataFields count="1">
    <dataField name="Average of Vendor Score" fld="2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1C9959-E95E-4D92-B22D-51BC427B315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B12" firstHeaderRow="1" firstDataRow="1" firstDataCol="1"/>
  <pivotFields count="22">
    <pivotField axis="axisRow" showAll="0" sortType="descending">
      <items count="11">
        <item x="2"/>
        <item x="0"/>
        <item x="1"/>
        <item x="4"/>
        <item x="5"/>
        <item x="8"/>
        <item x="7"/>
        <item x="9"/>
        <item x="3"/>
        <item x="6"/>
        <item t="default"/>
      </items>
      <autoSortScope>
        <pivotArea dataOnly="0" outline="0" fieldPosition="0">
          <references count="1">
            <reference field="4294967294" count="1" selected="0">
              <x v="0"/>
            </reference>
          </references>
        </pivotArea>
      </autoSortScope>
    </pivotField>
    <pivotField showAll="0">
      <items count="9">
        <item x="7"/>
        <item x="3"/>
        <item x="1"/>
        <item x="4"/>
        <item x="6"/>
        <item x="2"/>
        <item x="5"/>
        <item x="0"/>
        <item t="default"/>
      </items>
    </pivotField>
    <pivotField showAll="0">
      <items count="5">
        <item x="3"/>
        <item x="2"/>
        <item x="1"/>
        <item x="0"/>
        <item t="default"/>
      </items>
    </pivotField>
    <pivotField showAll="0"/>
    <pivotField showAll="0">
      <items count="5">
        <item x="2"/>
        <item x="3"/>
        <item x="1"/>
        <item x="0"/>
        <item t="default"/>
      </items>
    </pivotField>
    <pivotField showAll="0"/>
    <pivotField showAll="0"/>
    <pivotField showAll="0"/>
    <pivotField showAll="0">
      <items count="8">
        <item x="4"/>
        <item x="1"/>
        <item x="6"/>
        <item x="0"/>
        <item x="3"/>
        <item x="5"/>
        <item x="2"/>
        <item t="default"/>
      </items>
    </pivotField>
    <pivotField numFmtId="14" showAll="0"/>
    <pivotField showAll="0"/>
    <pivotField numFmtId="14" showAll="0"/>
    <pivotField numFmtId="14" showAll="0"/>
    <pivotField dataField="1" showAll="0"/>
    <pivotField showAll="0"/>
    <pivotField showAll="0"/>
    <pivotField showAll="0"/>
    <pivotField showAll="0"/>
    <pivotField showAll="0"/>
    <pivotField showAll="0"/>
    <pivotField showAll="0"/>
    <pivotField showAll="0"/>
  </pivotFields>
  <rowFields count="1">
    <field x="0"/>
  </rowFields>
  <rowItems count="11">
    <i>
      <x v="5"/>
    </i>
    <i>
      <x v="7"/>
    </i>
    <i>
      <x v="6"/>
    </i>
    <i>
      <x v="4"/>
    </i>
    <i>
      <x v="9"/>
    </i>
    <i>
      <x v="8"/>
    </i>
    <i>
      <x v="3"/>
    </i>
    <i>
      <x/>
    </i>
    <i>
      <x v="2"/>
    </i>
    <i>
      <x v="1"/>
    </i>
    <i t="grand">
      <x/>
    </i>
  </rowItems>
  <colItems count="1">
    <i/>
  </colItems>
  <dataFields count="1">
    <dataField name="Sum of Total_Cost" fld="13" baseField="0"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755184-13A1-4BE9-9CBE-AB51AB3D7AB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4:E25" firstHeaderRow="1" firstDataRow="1" firstDataCol="1"/>
  <pivotFields count="22">
    <pivotField axis="axisRow" showAll="0" sortType="ascending">
      <items count="11">
        <item x="2"/>
        <item x="0"/>
        <item x="1"/>
        <item x="4"/>
        <item x="5"/>
        <item x="8"/>
        <item x="7"/>
        <item x="9"/>
        <item x="3"/>
        <item x="6"/>
        <item t="default"/>
      </items>
      <autoSortScope>
        <pivotArea dataOnly="0" outline="0" fieldPosition="0">
          <references count="1">
            <reference field="4294967294" count="1" selected="0">
              <x v="0"/>
            </reference>
          </references>
        </pivotArea>
      </autoSortScope>
    </pivotField>
    <pivotField showAll="0">
      <items count="9">
        <item x="7"/>
        <item x="3"/>
        <item x="1"/>
        <item x="4"/>
        <item x="6"/>
        <item x="2"/>
        <item x="5"/>
        <item x="0"/>
        <item t="default"/>
      </items>
    </pivotField>
    <pivotField showAll="0">
      <items count="5">
        <item x="3"/>
        <item x="2"/>
        <item x="1"/>
        <item x="0"/>
        <item t="default"/>
      </items>
    </pivotField>
    <pivotField showAll="0"/>
    <pivotField showAll="0">
      <items count="5">
        <item x="2"/>
        <item x="3"/>
        <item x="1"/>
        <item x="0"/>
        <item t="default"/>
      </items>
    </pivotField>
    <pivotField showAll="0"/>
    <pivotField showAll="0"/>
    <pivotField showAll="0"/>
    <pivotField showAll="0">
      <items count="8">
        <item x="4"/>
        <item x="1"/>
        <item x="6"/>
        <item x="0"/>
        <item x="3"/>
        <item x="5"/>
        <item x="2"/>
        <item t="default"/>
      </items>
    </pivotField>
    <pivotField numFmtId="14" showAll="0"/>
    <pivotField showAll="0"/>
    <pivotField numFmtId="14" showAll="0"/>
    <pivotField numFmtId="14" showAll="0"/>
    <pivotField showAll="0"/>
    <pivotField showAll="0"/>
    <pivotField showAll="0"/>
    <pivotField showAll="0"/>
    <pivotField showAll="0"/>
    <pivotField showAll="0"/>
    <pivotField showAll="0"/>
    <pivotField showAll="0"/>
    <pivotField dataField="1" showAll="0"/>
  </pivotFields>
  <rowFields count="1">
    <field x="0"/>
  </rowFields>
  <rowItems count="11">
    <i>
      <x v="8"/>
    </i>
    <i>
      <x v="6"/>
    </i>
    <i>
      <x v="2"/>
    </i>
    <i>
      <x v="1"/>
    </i>
    <i>
      <x v="7"/>
    </i>
    <i>
      <x v="9"/>
    </i>
    <i>
      <x v="4"/>
    </i>
    <i>
      <x/>
    </i>
    <i>
      <x v="5"/>
    </i>
    <i>
      <x v="3"/>
    </i>
    <i t="grand">
      <x/>
    </i>
  </rowItems>
  <colItems count="1">
    <i/>
  </colItems>
  <dataFields count="1">
    <dataField name="Average of Vendor Score" fld="21" subtotal="average" baseField="0" baseItem="109" numFmtId="2"/>
  </dataFields>
  <formats count="1">
    <format dxfId="21">
      <pivotArea dataOnly="0" labelOnly="1" outline="0" axis="axisValues" fieldPosition="0"/>
    </format>
  </formats>
  <chartFormats count="4">
    <chartFormat chart="7"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A29B87-0D24-478C-B343-0C9F37302802}"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D1:E12" firstHeaderRow="1" firstDataRow="1" firstDataCol="1"/>
  <pivotFields count="22">
    <pivotField axis="axisRow" showAll="0" sortType="descending">
      <items count="11">
        <item x="2"/>
        <item x="0"/>
        <item x="1"/>
        <item x="4"/>
        <item x="5"/>
        <item x="8"/>
        <item x="7"/>
        <item x="9"/>
        <item x="3"/>
        <item x="6"/>
        <item t="default"/>
      </items>
      <autoSortScope>
        <pivotArea dataOnly="0" outline="0" fieldPosition="0">
          <references count="1">
            <reference field="4294967294" count="1" selected="0">
              <x v="0"/>
            </reference>
          </references>
        </pivotArea>
      </autoSortScope>
    </pivotField>
    <pivotField showAll="0">
      <items count="9">
        <item x="7"/>
        <item x="3"/>
        <item x="1"/>
        <item x="4"/>
        <item x="6"/>
        <item x="2"/>
        <item x="5"/>
        <item x="0"/>
        <item t="default"/>
      </items>
    </pivotField>
    <pivotField showAll="0">
      <items count="5">
        <item x="3"/>
        <item x="2"/>
        <item x="1"/>
        <item x="0"/>
        <item t="default"/>
      </items>
    </pivotField>
    <pivotField showAll="0"/>
    <pivotField showAll="0">
      <items count="5">
        <item x="2"/>
        <item x="3"/>
        <item x="1"/>
        <item x="0"/>
        <item t="default"/>
      </items>
    </pivotField>
    <pivotField showAll="0"/>
    <pivotField showAll="0"/>
    <pivotField showAll="0"/>
    <pivotField showAll="0">
      <items count="8">
        <item x="4"/>
        <item x="1"/>
        <item x="6"/>
        <item x="0"/>
        <item x="3"/>
        <item x="5"/>
        <item x="2"/>
        <item t="default"/>
      </items>
    </pivotField>
    <pivotField numFmtId="14" showAll="0"/>
    <pivotField showAll="0"/>
    <pivotField numFmtId="14" showAll="0"/>
    <pivotField numFmtId="14" showAll="0"/>
    <pivotField showAll="0"/>
    <pivotField showAll="0"/>
    <pivotField showAll="0"/>
    <pivotField showAll="0"/>
    <pivotField dataField="1" showAll="0"/>
    <pivotField showAll="0"/>
    <pivotField showAll="0"/>
    <pivotField showAll="0"/>
    <pivotField showAll="0"/>
  </pivotFields>
  <rowFields count="1">
    <field x="0"/>
  </rowFields>
  <rowItems count="11">
    <i>
      <x v="5"/>
    </i>
    <i>
      <x v="2"/>
    </i>
    <i>
      <x v="3"/>
    </i>
    <i>
      <x v="9"/>
    </i>
    <i>
      <x v="7"/>
    </i>
    <i>
      <x/>
    </i>
    <i>
      <x v="4"/>
    </i>
    <i>
      <x v="6"/>
    </i>
    <i>
      <x v="1"/>
    </i>
    <i>
      <x v="8"/>
    </i>
    <i t="grand">
      <x/>
    </i>
  </rowItems>
  <colItems count="1">
    <i/>
  </colItems>
  <dataFields count="1">
    <dataField name="Average of Profit Score" fld="17" subtotal="average" baseField="0" baseItem="0"/>
  </dataFields>
  <formats count="4">
    <format dxfId="25">
      <pivotArea type="all" dataOnly="0" outline="0" fieldPosition="0"/>
    </format>
    <format dxfId="24">
      <pivotArea outline="0" collapsedLevelsAreSubtotals="1" fieldPosition="0"/>
    </format>
    <format dxfId="23">
      <pivotArea dataOnly="0" labelOnly="1" grandRow="1" outline="0" fieldPosition="0"/>
    </format>
    <format dxfId="22">
      <pivotArea dataOnly="0" labelOnly="1" outline="0" axis="axisValues" fieldPosition="0"/>
    </format>
  </formats>
  <chartFormats count="1">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Mode" xr10:uid="{B20C4448-4B6E-4613-8DAC-F483847E1979}" sourceName="Shipping_Mode">
  <pivotTables>
    <pivotTable tabId="3" name="PivotTable5"/>
    <pivotTable tabId="2" name="PivotTable1"/>
    <pivotTable tabId="3" name="PivotTable2"/>
    <pivotTable tabId="3" name="PivotTable3"/>
    <pivotTable tabId="3" name="PivotTable4"/>
    <pivotTable tabId="2" name="PivotTable6"/>
    <pivotTable tabId="2" name="PivotTable8"/>
    <pivotTable tabId="2" name="PivotTable9"/>
    <pivotTable tabId="3" name="PivotTable1"/>
  </pivotTables>
  <data>
    <tabular pivotCacheId="1442691744">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663B13-CE8C-4783-9685-271B9C574EF8}" sourceName="Category">
  <pivotTables>
    <pivotTable tabId="3" name="PivotTable5"/>
    <pivotTable tabId="2" name="PivotTable1"/>
    <pivotTable tabId="2" name="PivotTable6"/>
    <pivotTable tabId="3" name="PivotTable2"/>
    <pivotTable tabId="3" name="PivotTable3"/>
    <pivotTable tabId="3" name="PivotTable4"/>
    <pivotTable tabId="2" name="PivotTable8"/>
    <pivotTable tabId="2" name="PivotTable9"/>
    <pivotTable tabId="3" name="PivotTable1"/>
  </pivotTables>
  <data>
    <tabular pivotCacheId="1442691744">
      <items count="7">
        <i x="4" s="1"/>
        <i x="1" s="1"/>
        <i x="6" s="1"/>
        <i x="0" s="1"/>
        <i x="3"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192B856-A986-4C4B-8CD0-BBEBAAD28D1E}" sourceName="Country">
  <pivotTables>
    <pivotTable tabId="3" name="PivotTable5"/>
    <pivotTable tabId="2" name="PivotTable1"/>
    <pivotTable tabId="2" name="PivotTable6"/>
    <pivotTable tabId="3" name="PivotTable2"/>
    <pivotTable tabId="3" name="PivotTable3"/>
    <pivotTable tabId="3" name="PivotTable4"/>
    <pivotTable tabId="2" name="PivotTable8"/>
    <pivotTable tabId="2" name="PivotTable9"/>
    <pivotTable tabId="3" name="PivotTable1"/>
  </pivotTables>
  <data>
    <tabular pivotCacheId="1442691744">
      <items count="8">
        <i x="7" s="1"/>
        <i x="3" s="1"/>
        <i x="1" s="1"/>
        <i x="4" s="1"/>
        <i x="6" s="1"/>
        <i x="2"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8229FB-81B5-436F-95E3-AB061ED11092}" sourceName="Region">
  <pivotTables>
    <pivotTable tabId="3" name="PivotTable3"/>
    <pivotTable tabId="2" name="PivotTable1"/>
    <pivotTable tabId="2" name="PivotTable6"/>
    <pivotTable tabId="2" name="PivotTable8"/>
    <pivotTable tabId="2" name="PivotTable9"/>
    <pivotTable tabId="3" name="PivotTable2"/>
    <pivotTable tabId="3" name="PivotTable4"/>
    <pivotTable tabId="3" name="PivotTable5"/>
    <pivotTable tabId="3" name="PivotTable1"/>
  </pivotTables>
  <data>
    <tabular pivotCacheId="1442691744" customListSort="0">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ping_Mode" xr10:uid="{C2D5FEB8-6403-4582-A868-0EA21117B9EE}" cache="Slicer_Shipping_Mode" caption="Shipping_Mode" columnCount="2" showCaption="0" style="Slicer Style 2 2" rowHeight="254906"/>
  <slicer name="Category" xr10:uid="{6CCC01B7-ED62-4BA7-BA03-6FE2B388299B}" cache="Slicer_Category" caption="Category" showCaption="0" style="Slicer Style 2 2" rowHeight="254906"/>
  <slicer name="Country" xr10:uid="{1A8969C7-17DD-4FCA-85DA-132D34F43351}" cache="Slicer_Country" caption="Country" showCaption="0" style="Slicer Style 2 2" rowHeight="254906"/>
  <slicer name="Region" xr10:uid="{339AE7C5-5245-4A52-9230-8EBF342C916E}" cache="Slicer_Region" caption="Region" columnCount="2" showCaption="0" style="Slicer Style 2 2" rowHeight="25490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562B83-E926-40DC-B49A-CF56B9EF75A4}" name="Table1" displayName="Table1" ref="A1:V1001" totalsRowShown="0">
  <tableColumns count="22">
    <tableColumn id="1" xr3:uid="{972EDF5E-702A-4EC3-B85A-59E02E025756}" name="Vendor Name"/>
    <tableColumn id="2" xr3:uid="{A5C48C99-A7E6-42DB-8203-416CD8F8DEF7}" name="Country"/>
    <tableColumn id="3" xr3:uid="{224ED819-DE2F-4B0F-8EEE-4ADC098E0393}" name="Region"/>
    <tableColumn id="4" xr3:uid="{C7ACF25F-1AA7-41FC-BEB8-B12DC475AAB0}" name="On_Time_Delivery_Rate"/>
    <tableColumn id="7" xr3:uid="{E02A0EA5-6006-4AF2-974B-F12ECC4DB30D}" name="Shipping_Mode"/>
    <tableColumn id="9" xr3:uid="{2F41EB88-2357-4DF3-9A94-71396B686541}" name="Delivery_Status"/>
    <tableColumn id="10" xr3:uid="{7D49BA47-8562-496E-953B-CD19254E7161}" name="Late_Delivery_Risk_Flag"/>
    <tableColumn id="16" xr3:uid="{C4727F37-7785-43DC-A8FA-08E77AD0DA85}" name="Profit_Per_Order"/>
    <tableColumn id="18" xr3:uid="{E380D138-3442-4D27-A378-919C0C968B0F}" name="Category"/>
    <tableColumn id="19" xr3:uid="{05270FBF-3164-4CFA-B074-4B87B6297774}" name="Order_Date" dataDxfId="18"/>
    <tableColumn id="21" xr3:uid="{382E890E-87F5-47EF-B409-D8D7E88299BE}" name="Unit_Cost"/>
    <tableColumn id="22" xr3:uid="{6B6C909B-E628-4D93-BAED-94BAD628866F}" name="Delivery_Date_Planned" dataDxfId="17"/>
    <tableColumn id="23" xr3:uid="{9724A00D-DB78-4252-89C3-9651D652CF36}" name="Delivery_Date_Actual" dataDxfId="16"/>
    <tableColumn id="24" xr3:uid="{AE7CED51-7D9B-49AB-85B6-B4A7F8F8FED5}" name="Total_Cost"/>
    <tableColumn id="25" xr3:uid="{20C25688-7E21-40EB-88F9-E272C6D5913D}" name="Delivery Delay"/>
    <tableColumn id="26" xr3:uid="{3AA474F9-3053-4A5E-8527-E808AFC27A87}" name="Delay Flag">
      <calculatedColumnFormula>IF(Table1[[#This Row],[Delivery Delay]]&gt;0,"Late","On Time")</calculatedColumnFormula>
    </tableColumn>
    <tableColumn id="27" xr3:uid="{7CD0013D-2E72-4664-AB57-75D4B8B25B01}" name="Cost Efficiency"/>
    <tableColumn id="28" xr3:uid="{AA8D8DC6-DAD2-4D4C-B205-88D01D5B4A7D}" name="Profit Score"/>
    <tableColumn id="29" xr3:uid="{F2A9A830-21C5-460B-BC34-16D4FC37429F}" name="Cost Score"/>
    <tableColumn id="30" xr3:uid="{7EC5E6D9-B163-48AB-9DC4-588F613F5B49}" name="Delivery Score"/>
    <tableColumn id="31" xr3:uid="{946658A9-0A4E-4F9C-9D9F-B86383AC9F00}" name="Risk Score"/>
    <tableColumn id="32" xr3:uid="{91A8F0A3-9353-443F-B64B-BB9D3B1BE6A3}" name="Vendor 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6B0797-2AC8-4800-8444-B970E8AE90AE}" name="Table2" displayName="Table2" ref="A27:C37" totalsRowShown="0">
  <autoFilter ref="A27:C37" xr:uid="{6C6B0797-2AC8-4800-8444-B970E8AE90AE}"/>
  <sortState xmlns:xlrd2="http://schemas.microsoft.com/office/spreadsheetml/2017/richdata2" ref="A28:C37">
    <sortCondition ref="C29:C37"/>
  </sortState>
  <tableColumns count="3">
    <tableColumn id="1" xr3:uid="{14C7AD9F-01F9-4F07-B3B2-121057954E57}" name="Supplier_Name" dataDxfId="19"/>
    <tableColumn id="2" xr3:uid="{66953967-7DB5-40F7-BF52-62960DD9447A}" name="Avg Cost"/>
    <tableColumn id="3" xr3:uid="{800C8430-5E32-4130-A3E2-0BEED700FD43}" name="Avg Delivery Rate"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2.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A788F-DF4C-4C87-8A75-A6031CA85E92}">
  <dimension ref="A1:AG2001"/>
  <sheetViews>
    <sheetView topLeftCell="A987" zoomScale="145" zoomScaleNormal="145" workbookViewId="0">
      <selection activeCell="K1" sqref="K1"/>
    </sheetView>
  </sheetViews>
  <sheetFormatPr defaultRowHeight="14.5" x14ac:dyDescent="0.35"/>
  <cols>
    <col min="1" max="1" width="19.26953125" bestFit="1" customWidth="1"/>
    <col min="2" max="2" width="9.1796875" customWidth="1"/>
    <col min="3" max="3" width="8.26953125" customWidth="1"/>
    <col min="4" max="4" width="21.81640625" customWidth="1"/>
    <col min="5" max="5" width="15.26953125" customWidth="1"/>
    <col min="6" max="6" width="15.453125" customWidth="1"/>
    <col min="7" max="7" width="22.26953125" customWidth="1"/>
    <col min="8" max="8" width="16.26953125" customWidth="1"/>
    <col min="9" max="9" width="10" customWidth="1"/>
    <col min="10" max="10" width="12.1796875" customWidth="1"/>
    <col min="11" max="11" width="11.81640625" bestFit="1" customWidth="1"/>
    <col min="12" max="12" width="21.54296875" customWidth="1"/>
    <col min="13" max="13" width="20.1796875" customWidth="1"/>
    <col min="14" max="14" width="11.81640625" bestFit="1" customWidth="1"/>
    <col min="15" max="15" width="14.453125" customWidth="1"/>
    <col min="16" max="16" width="11.1796875" customWidth="1"/>
    <col min="17" max="17" width="14.81640625" customWidth="1"/>
    <col min="18" max="18" width="13.1796875" customWidth="1"/>
    <col min="19" max="19" width="11.54296875" customWidth="1"/>
    <col min="20" max="20" width="14.54296875" customWidth="1"/>
    <col min="21" max="21" width="11.26953125" customWidth="1"/>
    <col min="22" max="22" width="13.54296875" customWidth="1"/>
    <col min="25" max="25" width="32.81640625" bestFit="1" customWidth="1"/>
    <col min="30" max="30" width="19.26953125" bestFit="1" customWidth="1"/>
  </cols>
  <sheetData>
    <row r="1" spans="1:25" x14ac:dyDescent="0.35">
      <c r="A1" s="6" t="s">
        <v>95</v>
      </c>
      <c r="B1" s="8" t="s">
        <v>1</v>
      </c>
      <c r="C1" s="8" t="s">
        <v>2</v>
      </c>
      <c r="D1" s="7" t="s">
        <v>3</v>
      </c>
      <c r="E1" s="8" t="s">
        <v>43</v>
      </c>
      <c r="F1" s="7" t="s">
        <v>42</v>
      </c>
      <c r="G1" s="7" t="s">
        <v>41</v>
      </c>
      <c r="H1" s="7" t="s">
        <v>40</v>
      </c>
      <c r="I1" s="8" t="s">
        <v>52</v>
      </c>
      <c r="J1" t="s">
        <v>44</v>
      </c>
      <c r="K1" s="7" t="s">
        <v>56</v>
      </c>
      <c r="L1" s="7" t="s">
        <v>55</v>
      </c>
      <c r="M1" s="7" t="s">
        <v>54</v>
      </c>
      <c r="N1" s="6" t="s">
        <v>53</v>
      </c>
      <c r="O1" s="6" t="s">
        <v>57</v>
      </c>
      <c r="P1" s="6" t="s">
        <v>58</v>
      </c>
      <c r="Q1" s="6" t="s">
        <v>59</v>
      </c>
      <c r="R1" s="6" t="s">
        <v>94</v>
      </c>
      <c r="S1" s="6" t="s">
        <v>60</v>
      </c>
      <c r="T1" s="6" t="s">
        <v>61</v>
      </c>
      <c r="U1" s="6" t="s">
        <v>62</v>
      </c>
      <c r="V1" s="6" t="s">
        <v>63</v>
      </c>
    </row>
    <row r="2" spans="1:25" x14ac:dyDescent="0.35">
      <c r="A2" t="s">
        <v>107</v>
      </c>
      <c r="B2" t="s">
        <v>4</v>
      </c>
      <c r="C2" t="s">
        <v>5</v>
      </c>
      <c r="D2">
        <v>0.75</v>
      </c>
      <c r="E2" t="s">
        <v>36</v>
      </c>
      <c r="F2" t="s">
        <v>39</v>
      </c>
      <c r="G2">
        <v>0</v>
      </c>
      <c r="H2">
        <v>-99.1584</v>
      </c>
      <c r="I2" t="s">
        <v>50</v>
      </c>
      <c r="J2" s="1">
        <v>44276</v>
      </c>
      <c r="K2">
        <v>42.3450228118054</v>
      </c>
      <c r="L2" s="1">
        <v>45384</v>
      </c>
      <c r="M2" s="1">
        <v>45385</v>
      </c>
      <c r="N2">
        <v>423.45022811805399</v>
      </c>
      <c r="O2">
        <v>1</v>
      </c>
      <c r="P2" t="str">
        <f>IF(Table1[[#This Row],[Delivery Delay]]&gt;0,"Late","On Time")</f>
        <v>Late</v>
      </c>
      <c r="Q2">
        <v>42.3450228118054</v>
      </c>
      <c r="R2">
        <v>0</v>
      </c>
      <c r="S2">
        <v>2.3615526302685312E-3</v>
      </c>
      <c r="T2">
        <v>0.75</v>
      </c>
      <c r="U2">
        <v>1</v>
      </c>
      <c r="V2">
        <v>42.570846578908053</v>
      </c>
    </row>
    <row r="3" spans="1:25" x14ac:dyDescent="0.35">
      <c r="A3" t="s">
        <v>100</v>
      </c>
      <c r="B3" t="s">
        <v>6</v>
      </c>
      <c r="C3" t="s">
        <v>7</v>
      </c>
      <c r="D3">
        <v>0.8</v>
      </c>
      <c r="E3" t="s">
        <v>38</v>
      </c>
      <c r="F3" t="s">
        <v>39</v>
      </c>
      <c r="G3">
        <v>0</v>
      </c>
      <c r="H3">
        <v>171.95159999999899</v>
      </c>
      <c r="I3" t="s">
        <v>47</v>
      </c>
      <c r="J3" s="1">
        <v>44371</v>
      </c>
      <c r="K3">
        <v>74.805687380734199</v>
      </c>
      <c r="L3" s="1">
        <v>44381</v>
      </c>
      <c r="M3" s="1">
        <v>44384</v>
      </c>
      <c r="N3">
        <v>374.02843690367098</v>
      </c>
      <c r="O3">
        <v>3</v>
      </c>
      <c r="P3" t="str">
        <f>IF(Table1[[#This Row],[Delivery Delay]]&gt;0,"Late","On Time")</f>
        <v>Late</v>
      </c>
      <c r="Q3">
        <v>74.805687380734199</v>
      </c>
      <c r="R3">
        <v>0.31634243478567836</v>
      </c>
      <c r="S3">
        <v>2.6735935060936146E-3</v>
      </c>
      <c r="T3">
        <v>0.8</v>
      </c>
      <c r="U3">
        <v>1</v>
      </c>
      <c r="V3">
        <v>50.407056500896374</v>
      </c>
      <c r="Y3" s="16" t="s">
        <v>93</v>
      </c>
    </row>
    <row r="4" spans="1:25" x14ac:dyDescent="0.35">
      <c r="A4" t="s">
        <v>101</v>
      </c>
      <c r="B4" t="s">
        <v>8</v>
      </c>
      <c r="C4" t="s">
        <v>9</v>
      </c>
      <c r="D4">
        <v>0.62</v>
      </c>
      <c r="E4" t="s">
        <v>35</v>
      </c>
      <c r="F4" t="s">
        <v>34</v>
      </c>
      <c r="G4">
        <v>1</v>
      </c>
      <c r="H4">
        <v>12.4233999999999</v>
      </c>
      <c r="I4" t="s">
        <v>45</v>
      </c>
      <c r="J4" s="1">
        <v>45154</v>
      </c>
      <c r="K4">
        <v>76.080119074640507</v>
      </c>
      <c r="L4" s="1">
        <v>45171</v>
      </c>
      <c r="M4" s="1">
        <v>45175</v>
      </c>
      <c r="N4">
        <v>836.88130982104599</v>
      </c>
      <c r="O4">
        <v>4</v>
      </c>
      <c r="P4" t="str">
        <f>IF(Table1[[#This Row],[Delivery Delay]]&gt;0,"Late","On Time")</f>
        <v>Late</v>
      </c>
      <c r="Q4">
        <v>76.08011907464055</v>
      </c>
      <c r="R4">
        <v>0.43012249250434309</v>
      </c>
      <c r="S4">
        <v>1.1949125739393492E-3</v>
      </c>
      <c r="T4">
        <v>0.62</v>
      </c>
      <c r="U4">
        <v>0</v>
      </c>
      <c r="V4">
        <v>27.23829722730504</v>
      </c>
      <c r="Y4" s="17" t="s">
        <v>89</v>
      </c>
    </row>
    <row r="5" spans="1:25" x14ac:dyDescent="0.35">
      <c r="A5" t="s">
        <v>102</v>
      </c>
      <c r="B5" t="s">
        <v>4</v>
      </c>
      <c r="C5" t="s">
        <v>9</v>
      </c>
      <c r="D5">
        <v>0.66</v>
      </c>
      <c r="E5" t="s">
        <v>37</v>
      </c>
      <c r="F5" t="s">
        <v>34</v>
      </c>
      <c r="G5">
        <v>1</v>
      </c>
      <c r="H5">
        <v>96.567800000000005</v>
      </c>
      <c r="I5" t="s">
        <v>50</v>
      </c>
      <c r="J5" s="1">
        <v>45047</v>
      </c>
      <c r="K5">
        <v>64.157843851116596</v>
      </c>
      <c r="L5" s="1">
        <v>45063</v>
      </c>
      <c r="M5" s="1">
        <v>45060</v>
      </c>
      <c r="N5">
        <v>449.10490695781601</v>
      </c>
      <c r="O5">
        <v>-3</v>
      </c>
      <c r="P5" t="str">
        <f>IF(Table1[[#This Row],[Delivery Delay]]&gt;0,"Late","On Time")</f>
        <v>On Time</v>
      </c>
      <c r="Q5">
        <v>64.157843851116567</v>
      </c>
      <c r="R5">
        <v>7.6473125146206605E-2</v>
      </c>
      <c r="S5">
        <v>2.2266512445252109E-3</v>
      </c>
      <c r="T5">
        <v>0.66</v>
      </c>
      <c r="U5">
        <v>0</v>
      </c>
      <c r="V5">
        <v>21.396262040259888</v>
      </c>
      <c r="Y5" s="17" t="s">
        <v>90</v>
      </c>
    </row>
    <row r="6" spans="1:25" x14ac:dyDescent="0.35">
      <c r="A6" t="s">
        <v>99</v>
      </c>
      <c r="B6" t="s">
        <v>10</v>
      </c>
      <c r="C6" t="s">
        <v>9</v>
      </c>
      <c r="D6">
        <v>0.89</v>
      </c>
      <c r="E6" t="s">
        <v>38</v>
      </c>
      <c r="F6" t="s">
        <v>39</v>
      </c>
      <c r="G6">
        <v>0</v>
      </c>
      <c r="H6">
        <v>574.44000000000005</v>
      </c>
      <c r="I6" t="s">
        <v>49</v>
      </c>
      <c r="J6" s="1">
        <v>44865</v>
      </c>
      <c r="K6">
        <v>53.179120934017803</v>
      </c>
      <c r="L6" s="1">
        <v>44889</v>
      </c>
      <c r="M6" s="1">
        <v>44889</v>
      </c>
      <c r="N6">
        <v>531.79120934017806</v>
      </c>
      <c r="O6">
        <v>0</v>
      </c>
      <c r="P6" t="str">
        <f>IF(Table1[[#This Row],[Delivery Delay]]&gt;0,"Late","On Time")</f>
        <v>On Time</v>
      </c>
      <c r="Q6">
        <v>53.179120934017803</v>
      </c>
      <c r="R6">
        <v>0.61561213991769548</v>
      </c>
      <c r="S6">
        <v>1.8804372513805817E-3</v>
      </c>
      <c r="T6">
        <v>0.89</v>
      </c>
      <c r="U6">
        <v>1</v>
      </c>
      <c r="V6">
        <v>59.068655915895327</v>
      </c>
      <c r="Y6" s="17" t="s">
        <v>92</v>
      </c>
    </row>
    <row r="7" spans="1:25" x14ac:dyDescent="0.35">
      <c r="A7" t="s">
        <v>103</v>
      </c>
      <c r="B7" t="s">
        <v>4</v>
      </c>
      <c r="C7" t="s">
        <v>11</v>
      </c>
      <c r="D7">
        <v>0.63</v>
      </c>
      <c r="E7" t="s">
        <v>37</v>
      </c>
      <c r="F7" t="s">
        <v>39</v>
      </c>
      <c r="G7">
        <v>0</v>
      </c>
      <c r="H7">
        <v>420.88559999999899</v>
      </c>
      <c r="I7" t="s">
        <v>45</v>
      </c>
      <c r="J7" s="1">
        <v>44754</v>
      </c>
      <c r="K7">
        <v>73.194289391294205</v>
      </c>
      <c r="L7" s="1">
        <v>44771</v>
      </c>
      <c r="M7" s="1">
        <v>44774</v>
      </c>
      <c r="N7">
        <v>585.55431513035398</v>
      </c>
      <c r="O7">
        <v>3</v>
      </c>
      <c r="P7" t="str">
        <f>IF(Table1[[#This Row],[Delivery Delay]]&gt;0,"Late","On Time")</f>
        <v>Late</v>
      </c>
      <c r="Q7">
        <v>73.194289391294248</v>
      </c>
      <c r="R7">
        <v>0.33631415837558698</v>
      </c>
      <c r="S7">
        <v>1.7077835038708299E-3</v>
      </c>
      <c r="T7">
        <v>0.63</v>
      </c>
      <c r="U7">
        <v>1</v>
      </c>
      <c r="V7">
        <v>45.677516672627867</v>
      </c>
      <c r="Y7" s="17" t="s">
        <v>91</v>
      </c>
    </row>
    <row r="8" spans="1:25" x14ac:dyDescent="0.35">
      <c r="A8" t="s">
        <v>104</v>
      </c>
      <c r="B8" t="s">
        <v>6</v>
      </c>
      <c r="C8" t="s">
        <v>11</v>
      </c>
      <c r="D8">
        <v>0.84</v>
      </c>
      <c r="E8" t="s">
        <v>37</v>
      </c>
      <c r="F8" t="s">
        <v>34</v>
      </c>
      <c r="G8">
        <v>1</v>
      </c>
      <c r="H8">
        <v>423.08399999999898</v>
      </c>
      <c r="I8" t="s">
        <v>45</v>
      </c>
      <c r="J8" s="1">
        <v>44509</v>
      </c>
      <c r="K8">
        <v>72.039598730382394</v>
      </c>
      <c r="L8" s="1">
        <v>44529</v>
      </c>
      <c r="M8" s="1">
        <v>44530</v>
      </c>
      <c r="N8">
        <v>648.35638857344202</v>
      </c>
      <c r="O8">
        <v>1</v>
      </c>
      <c r="P8" t="str">
        <f>IF(Table1[[#This Row],[Delivery Delay]]&gt;0,"Late","On Time")</f>
        <v>Late</v>
      </c>
      <c r="Q8">
        <v>72.039598730382451</v>
      </c>
      <c r="R8">
        <v>0.63035471644139163</v>
      </c>
      <c r="S8">
        <v>1.5423616048578905E-3</v>
      </c>
      <c r="T8">
        <v>0.84</v>
      </c>
      <c r="U8">
        <v>0</v>
      </c>
      <c r="V8">
        <v>37.853365176973568</v>
      </c>
    </row>
    <row r="9" spans="1:25" x14ac:dyDescent="0.35">
      <c r="A9" t="s">
        <v>105</v>
      </c>
      <c r="B9" t="s">
        <v>4</v>
      </c>
      <c r="C9" t="s">
        <v>9</v>
      </c>
      <c r="D9">
        <v>0.7</v>
      </c>
      <c r="E9" t="s">
        <v>35</v>
      </c>
      <c r="F9" t="s">
        <v>34</v>
      </c>
      <c r="G9">
        <v>1</v>
      </c>
      <c r="H9">
        <v>460.74119999999903</v>
      </c>
      <c r="I9" t="s">
        <v>50</v>
      </c>
      <c r="J9" s="1">
        <v>45268</v>
      </c>
      <c r="K9">
        <v>55.477081984225997</v>
      </c>
      <c r="L9" s="1">
        <v>45278</v>
      </c>
      <c r="M9" s="1">
        <v>45284</v>
      </c>
      <c r="N9">
        <v>610.24790182648599</v>
      </c>
      <c r="O9">
        <v>6</v>
      </c>
      <c r="P9" t="str">
        <f>IF(Table1[[#This Row],[Delivery Delay]]&gt;0,"Late","On Time")</f>
        <v>Late</v>
      </c>
      <c r="Q9">
        <v>55.477081984225997</v>
      </c>
      <c r="R9">
        <v>0.19538983975479474</v>
      </c>
      <c r="S9">
        <v>1.6386783092690316E-3</v>
      </c>
      <c r="T9">
        <v>0.7</v>
      </c>
      <c r="U9">
        <v>0</v>
      </c>
      <c r="V9">
        <v>24.956957144373966</v>
      </c>
      <c r="Y9" s="25"/>
    </row>
    <row r="10" spans="1:25" x14ac:dyDescent="0.35">
      <c r="A10" t="s">
        <v>106</v>
      </c>
      <c r="B10" t="s">
        <v>6</v>
      </c>
      <c r="C10" t="s">
        <v>9</v>
      </c>
      <c r="D10">
        <v>0.75</v>
      </c>
      <c r="E10" t="s">
        <v>35</v>
      </c>
      <c r="F10" t="s">
        <v>39</v>
      </c>
      <c r="G10">
        <v>0</v>
      </c>
      <c r="H10">
        <v>42.983399999999897</v>
      </c>
      <c r="I10" t="s">
        <v>46</v>
      </c>
      <c r="J10" s="1">
        <v>44674</v>
      </c>
      <c r="K10">
        <v>38.263269866724002</v>
      </c>
      <c r="L10" s="1">
        <v>44691</v>
      </c>
      <c r="M10" s="1">
        <v>44689</v>
      </c>
      <c r="N10">
        <v>382.63269866723999</v>
      </c>
      <c r="O10">
        <v>-2</v>
      </c>
      <c r="P10" t="str">
        <f>IF(Table1[[#This Row],[Delivery Delay]]&gt;0,"Late","On Time")</f>
        <v>On Time</v>
      </c>
      <c r="Q10">
        <v>38.263269866724002</v>
      </c>
      <c r="R10">
        <v>0.46537264760716845</v>
      </c>
      <c r="S10">
        <v>2.6134724070450109E-3</v>
      </c>
      <c r="T10">
        <v>0.75</v>
      </c>
      <c r="U10">
        <v>1</v>
      </c>
      <c r="V10">
        <v>51.885857124354715</v>
      </c>
      <c r="Y10" s="17"/>
    </row>
    <row r="11" spans="1:25" x14ac:dyDescent="0.35">
      <c r="A11" t="s">
        <v>108</v>
      </c>
      <c r="B11" t="s">
        <v>12</v>
      </c>
      <c r="C11" t="s">
        <v>9</v>
      </c>
      <c r="D11">
        <v>0.71</v>
      </c>
      <c r="E11" t="s">
        <v>36</v>
      </c>
      <c r="F11" t="s">
        <v>34</v>
      </c>
      <c r="G11">
        <v>1</v>
      </c>
      <c r="H11">
        <v>603</v>
      </c>
      <c r="I11" t="s">
        <v>49</v>
      </c>
      <c r="J11" s="1">
        <v>44253</v>
      </c>
      <c r="K11">
        <v>72.629360538852495</v>
      </c>
      <c r="L11" s="1">
        <v>44264</v>
      </c>
      <c r="M11" s="1">
        <v>44268</v>
      </c>
      <c r="N11">
        <v>581.03488431081996</v>
      </c>
      <c r="O11">
        <v>4</v>
      </c>
      <c r="P11" t="str">
        <f>IF(Table1[[#This Row],[Delivery Delay]]&gt;0,"Late","On Time")</f>
        <v>Late</v>
      </c>
      <c r="Q11">
        <v>72.629360538852495</v>
      </c>
      <c r="R11">
        <v>0.27967941225580228</v>
      </c>
      <c r="S11">
        <v>1.7210670598308828E-3</v>
      </c>
      <c r="T11">
        <v>0.71</v>
      </c>
      <c r="U11">
        <v>0</v>
      </c>
      <c r="V11">
        <v>26.945220256910972</v>
      </c>
    </row>
    <row r="12" spans="1:25" x14ac:dyDescent="0.35">
      <c r="A12" t="s">
        <v>107</v>
      </c>
      <c r="B12" t="s">
        <v>13</v>
      </c>
      <c r="C12" t="s">
        <v>11</v>
      </c>
      <c r="D12">
        <v>0.74</v>
      </c>
      <c r="E12" t="s">
        <v>38</v>
      </c>
      <c r="F12" t="s">
        <v>39</v>
      </c>
      <c r="G12">
        <v>0</v>
      </c>
      <c r="H12">
        <v>583.39959999999996</v>
      </c>
      <c r="I12" t="s">
        <v>50</v>
      </c>
      <c r="J12" s="1">
        <v>44393</v>
      </c>
      <c r="K12">
        <v>74.910725029472601</v>
      </c>
      <c r="L12" s="1">
        <v>44408</v>
      </c>
      <c r="M12" s="1">
        <v>44414</v>
      </c>
      <c r="N12">
        <v>1198.57160047156</v>
      </c>
      <c r="O12">
        <v>6</v>
      </c>
      <c r="P12" t="str">
        <f>IF(Table1[[#This Row],[Delivery Delay]]&gt;0,"Late","On Time")</f>
        <v>Late</v>
      </c>
      <c r="Q12">
        <v>74.910725029472502</v>
      </c>
      <c r="R12">
        <v>0.58411245083499908</v>
      </c>
      <c r="S12">
        <v>8.3432645960121617E-4</v>
      </c>
      <c r="T12">
        <v>0.74</v>
      </c>
      <c r="U12">
        <v>1</v>
      </c>
      <c r="V12">
        <v>53.907278810488023</v>
      </c>
    </row>
    <row r="13" spans="1:25" x14ac:dyDescent="0.35">
      <c r="A13" t="s">
        <v>100</v>
      </c>
      <c r="B13" t="s">
        <v>6</v>
      </c>
      <c r="C13" t="s">
        <v>11</v>
      </c>
      <c r="D13">
        <v>0.88</v>
      </c>
      <c r="E13" t="s">
        <v>38</v>
      </c>
      <c r="F13" t="s">
        <v>34</v>
      </c>
      <c r="G13">
        <v>1</v>
      </c>
      <c r="H13">
        <v>825.91949999999895</v>
      </c>
      <c r="I13" t="s">
        <v>49</v>
      </c>
      <c r="J13" s="1">
        <v>44976</v>
      </c>
      <c r="K13">
        <v>47.362314027756199</v>
      </c>
      <c r="L13" s="1">
        <v>44999</v>
      </c>
      <c r="M13" s="1">
        <v>45000</v>
      </c>
      <c r="N13">
        <v>615.71008236083105</v>
      </c>
      <c r="O13">
        <v>1</v>
      </c>
      <c r="P13" t="str">
        <f>IF(Table1[[#This Row],[Delivery Delay]]&gt;0,"Late","On Time")</f>
        <v>Late</v>
      </c>
      <c r="Q13">
        <v>47.362314027756234</v>
      </c>
      <c r="R13">
        <v>0.43157813880247514</v>
      </c>
      <c r="S13">
        <v>1.6241410180675903E-3</v>
      </c>
      <c r="T13">
        <v>0.88</v>
      </c>
      <c r="U13">
        <v>0</v>
      </c>
      <c r="V13">
        <v>35.08028700659154</v>
      </c>
    </row>
    <row r="14" spans="1:25" x14ac:dyDescent="0.35">
      <c r="A14" t="s">
        <v>101</v>
      </c>
      <c r="B14" t="s">
        <v>6</v>
      </c>
      <c r="C14" t="s">
        <v>9</v>
      </c>
      <c r="D14">
        <v>0.72</v>
      </c>
      <c r="E14" t="s">
        <v>38</v>
      </c>
      <c r="F14" t="s">
        <v>34</v>
      </c>
      <c r="G14">
        <v>1</v>
      </c>
      <c r="H14">
        <v>194.12249999999901</v>
      </c>
      <c r="I14" t="s">
        <v>49</v>
      </c>
      <c r="J14" s="1">
        <v>44549</v>
      </c>
      <c r="K14">
        <v>65.642856365693703</v>
      </c>
      <c r="L14" s="1">
        <v>44560</v>
      </c>
      <c r="M14" s="1">
        <v>44562</v>
      </c>
      <c r="N14">
        <v>722.07142002263095</v>
      </c>
      <c r="O14">
        <v>2</v>
      </c>
      <c r="P14" t="str">
        <f>IF(Table1[[#This Row],[Delivery Delay]]&gt;0,"Late","On Time")</f>
        <v>Late</v>
      </c>
      <c r="Q14">
        <v>65.642856365693717</v>
      </c>
      <c r="R14">
        <v>0.54464154199019299</v>
      </c>
      <c r="S14">
        <v>1.384904556904715E-3</v>
      </c>
      <c r="T14">
        <v>0.72</v>
      </c>
      <c r="U14">
        <v>0</v>
      </c>
      <c r="V14">
        <v>32.534377976510996</v>
      </c>
    </row>
    <row r="15" spans="1:25" x14ac:dyDescent="0.35">
      <c r="A15" t="s">
        <v>102</v>
      </c>
      <c r="B15" t="s">
        <v>14</v>
      </c>
      <c r="C15" t="s">
        <v>5</v>
      </c>
      <c r="D15">
        <v>0.82</v>
      </c>
      <c r="E15" t="s">
        <v>35</v>
      </c>
      <c r="F15" t="s">
        <v>34</v>
      </c>
      <c r="G15">
        <v>1</v>
      </c>
      <c r="H15">
        <v>2.32680000000002</v>
      </c>
      <c r="I15" t="s">
        <v>45</v>
      </c>
      <c r="J15" s="1">
        <v>44570</v>
      </c>
      <c r="K15">
        <v>78.904389918313697</v>
      </c>
      <c r="L15" s="1">
        <v>44590</v>
      </c>
      <c r="M15" s="1">
        <v>44594</v>
      </c>
      <c r="N15">
        <v>710.139509264823</v>
      </c>
      <c r="O15">
        <v>4</v>
      </c>
      <c r="P15" t="str">
        <f>IF(Table1[[#This Row],[Delivery Delay]]&gt;0,"Late","On Time")</f>
        <v>Late</v>
      </c>
      <c r="Q15">
        <v>78.904389918313669</v>
      </c>
      <c r="R15">
        <v>1.1210425290812056E-2</v>
      </c>
      <c r="S15">
        <v>1.4081740094073305E-3</v>
      </c>
      <c r="T15">
        <v>0.82</v>
      </c>
      <c r="U15">
        <v>0</v>
      </c>
      <c r="V15">
        <v>24.866453726098459</v>
      </c>
    </row>
    <row r="16" spans="1:25" x14ac:dyDescent="0.35">
      <c r="A16" t="s">
        <v>99</v>
      </c>
      <c r="B16" t="s">
        <v>6</v>
      </c>
      <c r="C16" t="s">
        <v>7</v>
      </c>
      <c r="D16">
        <v>0.79</v>
      </c>
      <c r="E16" t="s">
        <v>35</v>
      </c>
      <c r="F16" t="s">
        <v>39</v>
      </c>
      <c r="G16">
        <v>0</v>
      </c>
      <c r="H16">
        <v>612.9248</v>
      </c>
      <c r="I16" t="s">
        <v>47</v>
      </c>
      <c r="J16" s="1">
        <v>44859</v>
      </c>
      <c r="K16">
        <v>49.990514468280999</v>
      </c>
      <c r="L16" s="1">
        <v>44883</v>
      </c>
      <c r="M16" s="1">
        <v>44888</v>
      </c>
      <c r="N16">
        <v>449.91463021452898</v>
      </c>
      <c r="O16">
        <v>5</v>
      </c>
      <c r="P16" t="str">
        <f>IF(Table1[[#This Row],[Delivery Delay]]&gt;0,"Late","On Time")</f>
        <v>Late</v>
      </c>
      <c r="Q16">
        <v>49.990514468280999</v>
      </c>
      <c r="R16">
        <v>0.844941748386556</v>
      </c>
      <c r="S16">
        <v>2.2226438814029639E-3</v>
      </c>
      <c r="T16">
        <v>0.79</v>
      </c>
      <c r="U16">
        <v>1</v>
      </c>
      <c r="V16">
        <v>60.665514284173213</v>
      </c>
    </row>
    <row r="17" spans="1:33" x14ac:dyDescent="0.35">
      <c r="A17" t="s">
        <v>103</v>
      </c>
      <c r="B17" t="s">
        <v>6</v>
      </c>
      <c r="C17" t="s">
        <v>11</v>
      </c>
      <c r="D17">
        <v>0.86</v>
      </c>
      <c r="E17" t="s">
        <v>37</v>
      </c>
      <c r="F17" t="s">
        <v>34</v>
      </c>
      <c r="G17">
        <v>1</v>
      </c>
      <c r="H17">
        <v>33.438999999999901</v>
      </c>
      <c r="I17" t="s">
        <v>49</v>
      </c>
      <c r="J17" s="1">
        <v>45062</v>
      </c>
      <c r="K17">
        <v>53.415423056426597</v>
      </c>
      <c r="L17" s="1">
        <v>45073</v>
      </c>
      <c r="M17" s="1">
        <v>45071</v>
      </c>
      <c r="N17">
        <v>854.64676890282499</v>
      </c>
      <c r="O17">
        <v>-2</v>
      </c>
      <c r="P17" t="str">
        <f>IF(Table1[[#This Row],[Delivery Delay]]&gt;0,"Late","On Time")</f>
        <v>On Time</v>
      </c>
      <c r="Q17">
        <v>53.415423056426562</v>
      </c>
      <c r="R17">
        <v>0.44831007253080141</v>
      </c>
      <c r="S17">
        <v>1.1700740427343756E-3</v>
      </c>
      <c r="T17">
        <v>0.86</v>
      </c>
      <c r="U17">
        <v>0</v>
      </c>
      <c r="V17">
        <v>34.801303671898062</v>
      </c>
    </row>
    <row r="18" spans="1:33" x14ac:dyDescent="0.35">
      <c r="A18" t="s">
        <v>104</v>
      </c>
      <c r="B18" t="s">
        <v>8</v>
      </c>
      <c r="C18" t="s">
        <v>11</v>
      </c>
      <c r="D18">
        <v>0.97</v>
      </c>
      <c r="E18" t="s">
        <v>38</v>
      </c>
      <c r="F18" t="s">
        <v>34</v>
      </c>
      <c r="G18">
        <v>1</v>
      </c>
      <c r="H18">
        <v>60.8320000000001</v>
      </c>
      <c r="I18" t="s">
        <v>48</v>
      </c>
      <c r="J18" s="1">
        <v>44471</v>
      </c>
      <c r="K18">
        <v>69.114569575480303</v>
      </c>
      <c r="L18" s="1">
        <v>44482</v>
      </c>
      <c r="M18" s="1">
        <v>44483</v>
      </c>
      <c r="N18">
        <v>760.260265330283</v>
      </c>
      <c r="O18">
        <v>1</v>
      </c>
      <c r="P18" t="str">
        <f>IF(Table1[[#This Row],[Delivery Delay]]&gt;0,"Late","On Time")</f>
        <v>Late</v>
      </c>
      <c r="Q18">
        <v>69.114569575480274</v>
      </c>
      <c r="R18">
        <v>8.3063881849165563E-2</v>
      </c>
      <c r="S18">
        <v>1.3153390300696115E-3</v>
      </c>
      <c r="T18">
        <v>0.97</v>
      </c>
      <c r="U18">
        <v>0</v>
      </c>
      <c r="V18">
        <v>30.800737807885398</v>
      </c>
    </row>
    <row r="19" spans="1:33" x14ac:dyDescent="0.35">
      <c r="A19" t="s">
        <v>105</v>
      </c>
      <c r="B19" t="s">
        <v>13</v>
      </c>
      <c r="C19" t="s">
        <v>5</v>
      </c>
      <c r="D19">
        <v>0.89</v>
      </c>
      <c r="E19" t="s">
        <v>37</v>
      </c>
      <c r="F19" t="s">
        <v>34</v>
      </c>
      <c r="G19">
        <v>1</v>
      </c>
      <c r="H19">
        <v>12.2178000000001</v>
      </c>
      <c r="I19" t="s">
        <v>45</v>
      </c>
      <c r="J19" s="1">
        <v>44699</v>
      </c>
      <c r="K19">
        <v>61.201835120752797</v>
      </c>
      <c r="L19" s="1">
        <v>44721</v>
      </c>
      <c r="M19" s="1">
        <v>44720</v>
      </c>
      <c r="N19">
        <v>673.22018632828099</v>
      </c>
      <c r="O19">
        <v>-1</v>
      </c>
      <c r="P19" t="str">
        <f>IF(Table1[[#This Row],[Delivery Delay]]&gt;0,"Late","On Time")</f>
        <v>On Time</v>
      </c>
      <c r="Q19">
        <v>61.201835120752818</v>
      </c>
      <c r="R19">
        <v>1.0507786020201715E-2</v>
      </c>
      <c r="S19">
        <v>1.4853981213100048E-3</v>
      </c>
      <c r="T19">
        <v>0.89</v>
      </c>
      <c r="U19">
        <v>0</v>
      </c>
      <c r="V19">
        <v>26.954717664043333</v>
      </c>
    </row>
    <row r="20" spans="1:33" x14ac:dyDescent="0.35">
      <c r="A20" t="s">
        <v>106</v>
      </c>
      <c r="B20" t="s">
        <v>12</v>
      </c>
      <c r="C20" t="s">
        <v>5</v>
      </c>
      <c r="D20">
        <v>0.68</v>
      </c>
      <c r="E20" t="s">
        <v>38</v>
      </c>
      <c r="F20" t="s">
        <v>39</v>
      </c>
      <c r="G20">
        <v>0</v>
      </c>
      <c r="H20">
        <v>55.545599999999901</v>
      </c>
      <c r="I20" t="s">
        <v>46</v>
      </c>
      <c r="J20" s="1">
        <v>45095</v>
      </c>
      <c r="K20">
        <v>68.567830203443705</v>
      </c>
      <c r="L20" s="1">
        <v>45107</v>
      </c>
      <c r="M20" s="1">
        <v>45109</v>
      </c>
      <c r="N20">
        <v>617.11047183099299</v>
      </c>
      <c r="O20">
        <v>2</v>
      </c>
      <c r="P20" t="str">
        <f>IF(Table1[[#This Row],[Delivery Delay]]&gt;0,"Late","On Time")</f>
        <v>Late</v>
      </c>
      <c r="Q20">
        <v>68.567830203443663</v>
      </c>
      <c r="R20">
        <v>5.4600702089913244E-2</v>
      </c>
      <c r="S20">
        <v>1.6204554057119749E-3</v>
      </c>
      <c r="T20">
        <v>0.68</v>
      </c>
      <c r="U20">
        <v>1</v>
      </c>
      <c r="V20">
        <v>41.540627703969626</v>
      </c>
    </row>
    <row r="21" spans="1:33" x14ac:dyDescent="0.35">
      <c r="A21" t="s">
        <v>108</v>
      </c>
      <c r="B21" t="s">
        <v>10</v>
      </c>
      <c r="C21" t="s">
        <v>9</v>
      </c>
      <c r="D21">
        <v>0.61</v>
      </c>
      <c r="E21" t="s">
        <v>38</v>
      </c>
      <c r="F21" t="s">
        <v>34</v>
      </c>
      <c r="G21">
        <v>1</v>
      </c>
      <c r="H21">
        <v>117.423</v>
      </c>
      <c r="I21" t="s">
        <v>47</v>
      </c>
      <c r="J21" s="1">
        <v>44610</v>
      </c>
      <c r="K21">
        <v>63.632294555442499</v>
      </c>
      <c r="L21" s="1">
        <v>44623</v>
      </c>
      <c r="M21" s="1">
        <v>44622</v>
      </c>
      <c r="N21">
        <v>827.21982922075301</v>
      </c>
      <c r="O21">
        <v>-1</v>
      </c>
      <c r="P21" t="str">
        <f>IF(Table1[[#This Row],[Delivery Delay]]&gt;0,"Late","On Time")</f>
        <v>On Time</v>
      </c>
      <c r="Q21">
        <v>63.632294555442542</v>
      </c>
      <c r="R21">
        <v>0.20042398267201253</v>
      </c>
      <c r="S21">
        <v>1.2088685071077263E-3</v>
      </c>
      <c r="T21">
        <v>0.61</v>
      </c>
      <c r="U21">
        <v>0</v>
      </c>
      <c r="V21">
        <v>22.344745708653484</v>
      </c>
    </row>
    <row r="22" spans="1:33" x14ac:dyDescent="0.35">
      <c r="A22" t="s">
        <v>101</v>
      </c>
      <c r="B22" t="s">
        <v>14</v>
      </c>
      <c r="C22" t="s">
        <v>9</v>
      </c>
      <c r="D22">
        <v>0.7</v>
      </c>
      <c r="E22" t="s">
        <v>36</v>
      </c>
      <c r="F22" t="s">
        <v>34</v>
      </c>
      <c r="G22">
        <v>1</v>
      </c>
      <c r="H22">
        <v>-41.4968</v>
      </c>
      <c r="I22" t="s">
        <v>48</v>
      </c>
      <c r="J22" s="1">
        <v>45341</v>
      </c>
      <c r="K22">
        <v>63.442912422671199</v>
      </c>
      <c r="L22" s="1">
        <v>45365</v>
      </c>
      <c r="M22" s="1">
        <v>45367</v>
      </c>
      <c r="N22">
        <v>570.98621180404098</v>
      </c>
      <c r="O22">
        <v>2</v>
      </c>
      <c r="P22" t="str">
        <f>IF(Table1[[#This Row],[Delivery Delay]]&gt;0,"Late","On Time")</f>
        <v>Late</v>
      </c>
      <c r="Q22">
        <v>63.44291242267122</v>
      </c>
      <c r="R22">
        <v>0</v>
      </c>
      <c r="S22">
        <v>1.751355775896028E-3</v>
      </c>
      <c r="T22">
        <v>0.7</v>
      </c>
      <c r="U22">
        <v>0</v>
      </c>
      <c r="V22">
        <v>21.05254067327688</v>
      </c>
    </row>
    <row r="23" spans="1:33" x14ac:dyDescent="0.35">
      <c r="A23" t="s">
        <v>102</v>
      </c>
      <c r="B23" t="s">
        <v>8</v>
      </c>
      <c r="C23" t="s">
        <v>7</v>
      </c>
      <c r="D23">
        <v>0.83</v>
      </c>
      <c r="E23" t="s">
        <v>36</v>
      </c>
      <c r="F23" t="s">
        <v>39</v>
      </c>
      <c r="G23">
        <v>0</v>
      </c>
      <c r="H23">
        <v>322.087999999999</v>
      </c>
      <c r="I23" t="s">
        <v>48</v>
      </c>
      <c r="J23" s="1">
        <v>45179</v>
      </c>
      <c r="K23">
        <v>69.584274851607404</v>
      </c>
      <c r="L23" s="1">
        <v>45201</v>
      </c>
      <c r="M23" s="1">
        <v>45201</v>
      </c>
      <c r="N23">
        <v>835.01129821928896</v>
      </c>
      <c r="O23">
        <v>0</v>
      </c>
      <c r="P23" t="str">
        <f>IF(Table1[[#This Row],[Delivery Delay]]&gt;0,"Late","On Time")</f>
        <v>On Time</v>
      </c>
      <c r="Q23">
        <v>69.584274851607418</v>
      </c>
      <c r="R23">
        <v>0.42648912617450957</v>
      </c>
      <c r="S23">
        <v>1.1975885860856725E-3</v>
      </c>
      <c r="T23">
        <v>0.83</v>
      </c>
      <c r="U23">
        <v>1</v>
      </c>
      <c r="V23">
        <v>53.465710181072758</v>
      </c>
    </row>
    <row r="24" spans="1:33" x14ac:dyDescent="0.35">
      <c r="A24" t="s">
        <v>99</v>
      </c>
      <c r="B24" t="s">
        <v>15</v>
      </c>
      <c r="C24" t="s">
        <v>7</v>
      </c>
      <c r="D24">
        <v>0.62</v>
      </c>
      <c r="E24" t="s">
        <v>37</v>
      </c>
      <c r="F24" t="s">
        <v>34</v>
      </c>
      <c r="G24">
        <v>1</v>
      </c>
      <c r="H24">
        <v>49.258800000000001</v>
      </c>
      <c r="I24" t="s">
        <v>46</v>
      </c>
      <c r="J24" s="1">
        <v>45264</v>
      </c>
      <c r="K24">
        <v>76.462493466167402</v>
      </c>
      <c r="L24" s="1">
        <v>45283</v>
      </c>
      <c r="M24" s="1">
        <v>45281</v>
      </c>
      <c r="N24">
        <v>1146.9374019925101</v>
      </c>
      <c r="O24">
        <v>-2</v>
      </c>
      <c r="P24" t="str">
        <f>IF(Table1[[#This Row],[Delivery Delay]]&gt;0,"Late","On Time")</f>
        <v>On Time</v>
      </c>
      <c r="Q24">
        <v>76.462493466167345</v>
      </c>
      <c r="R24">
        <v>0.1827114957484974</v>
      </c>
      <c r="S24">
        <v>8.718871651258003E-4</v>
      </c>
      <c r="T24">
        <v>0.62</v>
      </c>
      <c r="U24">
        <v>0</v>
      </c>
      <c r="V24">
        <v>22.280386529923721</v>
      </c>
    </row>
    <row r="25" spans="1:33" x14ac:dyDescent="0.35">
      <c r="A25" t="s">
        <v>103</v>
      </c>
      <c r="B25" t="s">
        <v>13</v>
      </c>
      <c r="C25" t="s">
        <v>9</v>
      </c>
      <c r="D25">
        <v>0.79</v>
      </c>
      <c r="E25" t="s">
        <v>36</v>
      </c>
      <c r="F25" t="s">
        <v>34</v>
      </c>
      <c r="G25">
        <v>1</v>
      </c>
      <c r="H25">
        <v>302.97899999999902</v>
      </c>
      <c r="I25" t="s">
        <v>47</v>
      </c>
      <c r="J25" s="1">
        <v>44652</v>
      </c>
      <c r="K25">
        <v>49.064760522916899</v>
      </c>
      <c r="L25" s="1">
        <v>44674</v>
      </c>
      <c r="M25" s="1">
        <v>44678</v>
      </c>
      <c r="N25">
        <v>392.51808418333502</v>
      </c>
      <c r="O25">
        <v>4</v>
      </c>
      <c r="P25" t="str">
        <f>IF(Table1[[#This Row],[Delivery Delay]]&gt;0,"Late","On Time")</f>
        <v>Late</v>
      </c>
      <c r="Q25">
        <v>49.064760522916878</v>
      </c>
      <c r="R25">
        <v>0.24980150534389584</v>
      </c>
      <c r="S25">
        <v>2.5476533191600057E-3</v>
      </c>
      <c r="T25">
        <v>0.79</v>
      </c>
      <c r="U25">
        <v>0</v>
      </c>
      <c r="V25">
        <v>28.772459706452718</v>
      </c>
    </row>
    <row r="26" spans="1:33" x14ac:dyDescent="0.35">
      <c r="A26" t="s">
        <v>104</v>
      </c>
      <c r="B26" t="s">
        <v>12</v>
      </c>
      <c r="C26" t="s">
        <v>9</v>
      </c>
      <c r="D26">
        <v>0.83</v>
      </c>
      <c r="E26" t="s">
        <v>38</v>
      </c>
      <c r="F26" t="s">
        <v>34</v>
      </c>
      <c r="G26">
        <v>1</v>
      </c>
      <c r="H26">
        <v>75.622</v>
      </c>
      <c r="I26" t="s">
        <v>45</v>
      </c>
      <c r="J26" s="1">
        <v>45368</v>
      </c>
      <c r="K26">
        <v>15.439558053438899</v>
      </c>
      <c r="L26" s="1">
        <v>45381</v>
      </c>
      <c r="M26" s="1">
        <v>45383</v>
      </c>
      <c r="N26">
        <v>200.714254694706</v>
      </c>
      <c r="O26">
        <v>2</v>
      </c>
      <c r="P26" t="str">
        <f>IF(Table1[[#This Row],[Delivery Delay]]&gt;0,"Late","On Time")</f>
        <v>Late</v>
      </c>
      <c r="Q26">
        <v>15.439558053438923</v>
      </c>
      <c r="R26">
        <v>0.37083786938143015</v>
      </c>
      <c r="S26">
        <v>4.9822071756738849E-3</v>
      </c>
      <c r="T26">
        <v>0.83</v>
      </c>
      <c r="U26">
        <v>0</v>
      </c>
      <c r="V26">
        <v>32.466223602898822</v>
      </c>
    </row>
    <row r="27" spans="1:33" x14ac:dyDescent="0.35">
      <c r="A27" t="s">
        <v>105</v>
      </c>
      <c r="B27" t="s">
        <v>12</v>
      </c>
      <c r="C27" t="s">
        <v>11</v>
      </c>
      <c r="D27">
        <v>0.73</v>
      </c>
      <c r="E27" t="s">
        <v>35</v>
      </c>
      <c r="F27" t="s">
        <v>34</v>
      </c>
      <c r="G27">
        <v>1</v>
      </c>
      <c r="H27">
        <v>157.34</v>
      </c>
      <c r="I27" t="s">
        <v>51</v>
      </c>
      <c r="J27" s="1">
        <v>45277</v>
      </c>
      <c r="K27">
        <v>68.513472466800295</v>
      </c>
      <c r="L27" s="1">
        <v>45301</v>
      </c>
      <c r="M27" s="1">
        <v>45307</v>
      </c>
      <c r="N27">
        <v>753.64819713480301</v>
      </c>
      <c r="O27">
        <v>6</v>
      </c>
      <c r="P27" t="str">
        <f>IF(Table1[[#This Row],[Delivery Delay]]&gt;0,"Late","On Time")</f>
        <v>Late</v>
      </c>
      <c r="Q27">
        <v>68.51347246680028</v>
      </c>
      <c r="R27">
        <v>0.2212752791606897</v>
      </c>
      <c r="S27">
        <v>1.3268790448935854E-3</v>
      </c>
      <c r="T27">
        <v>0.73</v>
      </c>
      <c r="U27">
        <v>0</v>
      </c>
      <c r="V27">
        <v>26.3653119545606</v>
      </c>
    </row>
    <row r="28" spans="1:33" x14ac:dyDescent="0.35">
      <c r="A28" t="s">
        <v>106</v>
      </c>
      <c r="B28" t="s">
        <v>15</v>
      </c>
      <c r="C28" t="s">
        <v>9</v>
      </c>
      <c r="D28">
        <v>0.9</v>
      </c>
      <c r="E28" t="s">
        <v>36</v>
      </c>
      <c r="F28" t="s">
        <v>34</v>
      </c>
      <c r="G28">
        <v>1</v>
      </c>
      <c r="H28">
        <v>419.00490000000002</v>
      </c>
      <c r="I28" t="s">
        <v>47</v>
      </c>
      <c r="J28" s="1">
        <v>45220</v>
      </c>
      <c r="K28">
        <v>70.944673279855905</v>
      </c>
      <c r="L28" s="1">
        <v>45232</v>
      </c>
      <c r="M28" s="1">
        <v>45237</v>
      </c>
      <c r="N28">
        <v>851.33607935827001</v>
      </c>
      <c r="O28">
        <v>5</v>
      </c>
      <c r="P28" t="str">
        <f>IF(Table1[[#This Row],[Delivery Delay]]&gt;0,"Late","On Time")</f>
        <v>Late</v>
      </c>
      <c r="Q28">
        <v>70.944673279855834</v>
      </c>
      <c r="R28">
        <v>0.82904795739020343</v>
      </c>
      <c r="S28">
        <v>1.1746242456372711E-3</v>
      </c>
      <c r="T28">
        <v>0.9</v>
      </c>
      <c r="U28">
        <v>0</v>
      </c>
      <c r="V28">
        <v>43.616197875173192</v>
      </c>
    </row>
    <row r="29" spans="1:33" x14ac:dyDescent="0.35">
      <c r="A29" t="s">
        <v>108</v>
      </c>
      <c r="B29" t="s">
        <v>10</v>
      </c>
      <c r="C29" t="s">
        <v>11</v>
      </c>
      <c r="D29">
        <v>0.64</v>
      </c>
      <c r="E29" t="s">
        <v>35</v>
      </c>
      <c r="F29" t="s">
        <v>34</v>
      </c>
      <c r="G29">
        <v>1</v>
      </c>
      <c r="H29">
        <v>231.68189999999899</v>
      </c>
      <c r="I29" t="s">
        <v>46</v>
      </c>
      <c r="J29" s="1">
        <v>45383</v>
      </c>
      <c r="K29">
        <v>32.2580868801356</v>
      </c>
      <c r="L29" s="1">
        <v>45394</v>
      </c>
      <c r="M29" s="1">
        <v>45397</v>
      </c>
      <c r="N29">
        <v>290.32278192122101</v>
      </c>
      <c r="O29">
        <v>3</v>
      </c>
      <c r="P29" t="str">
        <f>IF(Table1[[#This Row],[Delivery Delay]]&gt;0,"Late","On Time")</f>
        <v>Late</v>
      </c>
      <c r="Q29">
        <v>32.258086880135664</v>
      </c>
      <c r="R29">
        <v>0.32221365978338234</v>
      </c>
      <c r="S29">
        <v>3.4444420564671693E-3</v>
      </c>
      <c r="T29">
        <v>0.64</v>
      </c>
      <c r="U29">
        <v>0</v>
      </c>
      <c r="V29">
        <v>25.747606457361666</v>
      </c>
      <c r="AG29" t="s">
        <v>73</v>
      </c>
    </row>
    <row r="30" spans="1:33" x14ac:dyDescent="0.35">
      <c r="A30" t="s">
        <v>107</v>
      </c>
      <c r="B30" t="s">
        <v>6</v>
      </c>
      <c r="C30" t="s">
        <v>5</v>
      </c>
      <c r="D30">
        <v>0.63</v>
      </c>
      <c r="E30" t="s">
        <v>36</v>
      </c>
      <c r="F30" t="s">
        <v>34</v>
      </c>
      <c r="G30">
        <v>1</v>
      </c>
      <c r="H30">
        <v>52.1584</v>
      </c>
      <c r="I30" t="s">
        <v>48</v>
      </c>
      <c r="J30" s="1">
        <v>44837</v>
      </c>
      <c r="K30">
        <v>8.32315558115023</v>
      </c>
      <c r="L30" s="1">
        <v>44857</v>
      </c>
      <c r="M30" s="1">
        <v>44860</v>
      </c>
      <c r="N30">
        <v>58.262089068051601</v>
      </c>
      <c r="O30">
        <v>3</v>
      </c>
      <c r="P30" t="str">
        <f>IF(Table1[[#This Row],[Delivery Delay]]&gt;0,"Late","On Time")</f>
        <v>Late</v>
      </c>
      <c r="Q30">
        <v>8.3231555811502282</v>
      </c>
      <c r="R30">
        <v>7.8851251983435899E-2</v>
      </c>
      <c r="S30">
        <v>1.7163819835433202E-2</v>
      </c>
      <c r="T30">
        <v>0.63</v>
      </c>
      <c r="U30">
        <v>0</v>
      </c>
      <c r="V30">
        <v>20.991939634731711</v>
      </c>
      <c r="AG30" t="s">
        <v>74</v>
      </c>
    </row>
    <row r="31" spans="1:33" x14ac:dyDescent="0.35">
      <c r="A31" t="s">
        <v>100</v>
      </c>
      <c r="B31" t="s">
        <v>8</v>
      </c>
      <c r="C31" t="s">
        <v>9</v>
      </c>
      <c r="D31">
        <v>0.88</v>
      </c>
      <c r="E31" t="s">
        <v>35</v>
      </c>
      <c r="F31" t="s">
        <v>34</v>
      </c>
      <c r="G31">
        <v>1</v>
      </c>
      <c r="H31">
        <v>869.48800000000006</v>
      </c>
      <c r="I31" t="s">
        <v>45</v>
      </c>
      <c r="J31" s="1">
        <v>45169</v>
      </c>
      <c r="K31">
        <v>27.203427496926199</v>
      </c>
      <c r="L31" s="1">
        <v>45185</v>
      </c>
      <c r="M31" s="1">
        <v>45189</v>
      </c>
      <c r="N31">
        <v>353.64455746004001</v>
      </c>
      <c r="O31">
        <v>4</v>
      </c>
      <c r="P31" t="str">
        <f>IF(Table1[[#This Row],[Delivery Delay]]&gt;0,"Late","On Time")</f>
        <v>Late</v>
      </c>
      <c r="Q31">
        <v>27.203427496926153</v>
      </c>
      <c r="R31">
        <v>0.82779368754569838</v>
      </c>
      <c r="S31">
        <v>2.8276979778290375E-3</v>
      </c>
      <c r="T31">
        <v>0.88</v>
      </c>
      <c r="U31">
        <v>0</v>
      </c>
      <c r="V31">
        <v>43.040704690248845</v>
      </c>
      <c r="AG31" t="s">
        <v>75</v>
      </c>
    </row>
    <row r="32" spans="1:33" x14ac:dyDescent="0.35">
      <c r="A32" t="s">
        <v>101</v>
      </c>
      <c r="B32" t="s">
        <v>4</v>
      </c>
      <c r="C32" t="s">
        <v>5</v>
      </c>
      <c r="D32">
        <v>0.79</v>
      </c>
      <c r="E32" t="s">
        <v>35</v>
      </c>
      <c r="F32" t="s">
        <v>34</v>
      </c>
      <c r="G32">
        <v>1</v>
      </c>
      <c r="H32">
        <v>429.039999999999</v>
      </c>
      <c r="I32" t="s">
        <v>47</v>
      </c>
      <c r="J32" s="1">
        <v>45331</v>
      </c>
      <c r="K32">
        <v>17.686680271788699</v>
      </c>
      <c r="L32" s="1">
        <v>45351</v>
      </c>
      <c r="M32" s="1">
        <v>45352</v>
      </c>
      <c r="N32">
        <v>212.240163261465</v>
      </c>
      <c r="O32">
        <v>1</v>
      </c>
      <c r="P32" t="str">
        <f>IF(Table1[[#This Row],[Delivery Delay]]&gt;0,"Late","On Time")</f>
        <v>Late</v>
      </c>
      <c r="Q32">
        <v>17.686680271788749</v>
      </c>
      <c r="R32">
        <v>0.64212164750957712</v>
      </c>
      <c r="S32">
        <v>4.7116435675186984E-3</v>
      </c>
      <c r="T32">
        <v>0.79</v>
      </c>
      <c r="U32">
        <v>0</v>
      </c>
      <c r="V32">
        <v>36.683782257217104</v>
      </c>
      <c r="AG32" t="s">
        <v>76</v>
      </c>
    </row>
    <row r="33" spans="1:33" x14ac:dyDescent="0.35">
      <c r="A33" t="s">
        <v>102</v>
      </c>
      <c r="B33" t="s">
        <v>14</v>
      </c>
      <c r="C33" t="s">
        <v>7</v>
      </c>
      <c r="D33">
        <v>0.87</v>
      </c>
      <c r="E33" t="s">
        <v>36</v>
      </c>
      <c r="F33" t="s">
        <v>34</v>
      </c>
      <c r="G33">
        <v>1</v>
      </c>
      <c r="H33">
        <v>125.6215</v>
      </c>
      <c r="I33" t="s">
        <v>51</v>
      </c>
      <c r="J33" s="1">
        <v>44429</v>
      </c>
      <c r="K33">
        <v>17.681582408842502</v>
      </c>
      <c r="L33" s="1">
        <v>44450</v>
      </c>
      <c r="M33" s="1">
        <v>44450</v>
      </c>
      <c r="N33">
        <v>194.497406497268</v>
      </c>
      <c r="O33">
        <v>0</v>
      </c>
      <c r="P33" t="str">
        <f>IF(Table1[[#This Row],[Delivery Delay]]&gt;0,"Late","On Time")</f>
        <v>On Time</v>
      </c>
      <c r="Q33">
        <v>17.681582408842544</v>
      </c>
      <c r="R33">
        <v>0.37778459437961154</v>
      </c>
      <c r="S33">
        <v>5.1414567320415471E-3</v>
      </c>
      <c r="T33">
        <v>0.87</v>
      </c>
      <c r="U33">
        <v>0</v>
      </c>
      <c r="V33">
        <v>33.809935589553483</v>
      </c>
      <c r="AG33" t="s">
        <v>77</v>
      </c>
    </row>
    <row r="34" spans="1:33" x14ac:dyDescent="0.35">
      <c r="A34" t="s">
        <v>99</v>
      </c>
      <c r="B34" t="s">
        <v>4</v>
      </c>
      <c r="C34" t="s">
        <v>7</v>
      </c>
      <c r="D34">
        <v>0.77</v>
      </c>
      <c r="E34" t="s">
        <v>35</v>
      </c>
      <c r="F34" t="s">
        <v>39</v>
      </c>
      <c r="G34">
        <v>0</v>
      </c>
      <c r="H34">
        <v>666.7722</v>
      </c>
      <c r="I34" t="s">
        <v>51</v>
      </c>
      <c r="J34" s="1">
        <v>44363</v>
      </c>
      <c r="K34">
        <v>32.601286572435001</v>
      </c>
      <c r="L34" s="1">
        <v>44384</v>
      </c>
      <c r="M34" s="1">
        <v>44387</v>
      </c>
      <c r="N34">
        <v>619.42444487626597</v>
      </c>
      <c r="O34">
        <v>3</v>
      </c>
      <c r="P34" t="str">
        <f>IF(Table1[[#This Row],[Delivery Delay]]&gt;0,"Late","On Time")</f>
        <v>Late</v>
      </c>
      <c r="Q34">
        <v>32.60128657243505</v>
      </c>
      <c r="R34">
        <v>0.49726752482451347</v>
      </c>
      <c r="S34">
        <v>1.6144018988462046E-3</v>
      </c>
      <c r="T34">
        <v>0.77</v>
      </c>
      <c r="U34">
        <v>1</v>
      </c>
      <c r="V34">
        <v>53.093782553455647</v>
      </c>
      <c r="AG34" t="s">
        <v>78</v>
      </c>
    </row>
    <row r="35" spans="1:33" x14ac:dyDescent="0.35">
      <c r="A35" t="s">
        <v>103</v>
      </c>
      <c r="B35" t="s">
        <v>15</v>
      </c>
      <c r="C35" t="s">
        <v>9</v>
      </c>
      <c r="D35">
        <v>0.7</v>
      </c>
      <c r="E35" t="s">
        <v>37</v>
      </c>
      <c r="F35" t="s">
        <v>34</v>
      </c>
      <c r="G35">
        <v>1</v>
      </c>
      <c r="H35">
        <v>153.33599999999899</v>
      </c>
      <c r="I35" t="s">
        <v>49</v>
      </c>
      <c r="J35" s="1">
        <v>45121</v>
      </c>
      <c r="K35">
        <v>32.856348955913298</v>
      </c>
      <c r="L35" s="1">
        <v>45133</v>
      </c>
      <c r="M35" s="1">
        <v>45131</v>
      </c>
      <c r="N35">
        <v>262.85079164730598</v>
      </c>
      <c r="O35">
        <v>-2</v>
      </c>
      <c r="P35" t="str">
        <f>IF(Table1[[#This Row],[Delivery Delay]]&gt;0,"Late","On Time")</f>
        <v>On Time</v>
      </c>
      <c r="Q35">
        <v>32.856348955913248</v>
      </c>
      <c r="R35">
        <v>0.34277589999463343</v>
      </c>
      <c r="S35">
        <v>3.8044397497642053E-3</v>
      </c>
      <c r="T35">
        <v>0.7</v>
      </c>
      <c r="U35">
        <v>0</v>
      </c>
      <c r="V35">
        <v>27.969651192385591</v>
      </c>
      <c r="AG35" t="s">
        <v>79</v>
      </c>
    </row>
    <row r="36" spans="1:33" x14ac:dyDescent="0.35">
      <c r="A36" t="s">
        <v>104</v>
      </c>
      <c r="B36" t="s">
        <v>12</v>
      </c>
      <c r="C36" t="s">
        <v>9</v>
      </c>
      <c r="D36">
        <v>0.92</v>
      </c>
      <c r="E36" t="s">
        <v>36</v>
      </c>
      <c r="F36" t="s">
        <v>39</v>
      </c>
      <c r="G36">
        <v>0</v>
      </c>
      <c r="H36">
        <v>508.22039999999998</v>
      </c>
      <c r="I36" t="s">
        <v>49</v>
      </c>
      <c r="J36" s="1">
        <v>44582</v>
      </c>
      <c r="K36">
        <v>18.562488202935</v>
      </c>
      <c r="L36" s="1">
        <v>44605</v>
      </c>
      <c r="M36" s="1">
        <v>44611</v>
      </c>
      <c r="N36">
        <v>204.18737023228499</v>
      </c>
      <c r="O36">
        <v>6</v>
      </c>
      <c r="P36" t="str">
        <f>IF(Table1[[#This Row],[Delivery Delay]]&gt;0,"Late","On Time")</f>
        <v>Late</v>
      </c>
      <c r="Q36">
        <v>18.562488202935</v>
      </c>
      <c r="R36">
        <v>0.32754171058849185</v>
      </c>
      <c r="S36">
        <v>4.8974625554087546E-3</v>
      </c>
      <c r="T36">
        <v>0.92</v>
      </c>
      <c r="U36">
        <v>1</v>
      </c>
      <c r="V36">
        <v>54.297758088432111</v>
      </c>
      <c r="AG36" t="s">
        <v>80</v>
      </c>
    </row>
    <row r="37" spans="1:33" x14ac:dyDescent="0.35">
      <c r="A37" t="s">
        <v>105</v>
      </c>
      <c r="B37" t="s">
        <v>10</v>
      </c>
      <c r="C37" t="s">
        <v>5</v>
      </c>
      <c r="D37">
        <v>0.91</v>
      </c>
      <c r="E37" t="s">
        <v>37</v>
      </c>
      <c r="F37" t="s">
        <v>34</v>
      </c>
      <c r="G37">
        <v>1</v>
      </c>
      <c r="H37">
        <v>215.80199999999999</v>
      </c>
      <c r="I37" t="s">
        <v>50</v>
      </c>
      <c r="J37" s="1">
        <v>44823</v>
      </c>
      <c r="K37">
        <v>25.232411333629599</v>
      </c>
      <c r="L37" s="1">
        <v>44839</v>
      </c>
      <c r="M37" s="1">
        <v>44837</v>
      </c>
      <c r="N37">
        <v>378.48617000444398</v>
      </c>
      <c r="O37">
        <v>-2</v>
      </c>
      <c r="P37" t="str">
        <f>IF(Table1[[#This Row],[Delivery Delay]]&gt;0,"Late","On Time")</f>
        <v>On Time</v>
      </c>
      <c r="Q37">
        <v>25.232411333629599</v>
      </c>
      <c r="R37">
        <v>0.40217148224349225</v>
      </c>
      <c r="S37">
        <v>2.6421044657675566E-3</v>
      </c>
      <c r="T37">
        <v>0.91</v>
      </c>
      <c r="U37">
        <v>0</v>
      </c>
      <c r="V37">
        <v>35.42269277884288</v>
      </c>
      <c r="AG37" t="s">
        <v>81</v>
      </c>
    </row>
    <row r="38" spans="1:33" x14ac:dyDescent="0.35">
      <c r="A38" t="s">
        <v>106</v>
      </c>
      <c r="B38" t="s">
        <v>12</v>
      </c>
      <c r="C38" t="s">
        <v>11</v>
      </c>
      <c r="D38">
        <v>0.87</v>
      </c>
      <c r="E38" t="s">
        <v>37</v>
      </c>
      <c r="F38" t="s">
        <v>39</v>
      </c>
      <c r="G38">
        <v>0</v>
      </c>
      <c r="H38">
        <v>681.68789999999899</v>
      </c>
      <c r="I38" t="s">
        <v>46</v>
      </c>
      <c r="J38" s="1">
        <v>44509</v>
      </c>
      <c r="K38">
        <v>70.138520918066604</v>
      </c>
      <c r="L38" s="1">
        <v>44528</v>
      </c>
      <c r="M38" s="1">
        <v>44527</v>
      </c>
      <c r="N38">
        <v>1332.63189744326</v>
      </c>
      <c r="O38">
        <v>-1</v>
      </c>
      <c r="P38" t="str">
        <f>IF(Table1[[#This Row],[Delivery Delay]]&gt;0,"Late","On Time")</f>
        <v>On Time</v>
      </c>
      <c r="Q38">
        <v>70.13852091806632</v>
      </c>
      <c r="R38">
        <v>0.4137314548123121</v>
      </c>
      <c r="S38">
        <v>7.5039476536511269E-4</v>
      </c>
      <c r="T38">
        <v>0.87</v>
      </c>
      <c r="U38">
        <v>1</v>
      </c>
      <c r="V38">
        <v>54.397140939207198</v>
      </c>
      <c r="AG38" t="s">
        <v>82</v>
      </c>
    </row>
    <row r="39" spans="1:33" x14ac:dyDescent="0.35">
      <c r="A39" t="s">
        <v>108</v>
      </c>
      <c r="B39" t="s">
        <v>14</v>
      </c>
      <c r="C39" t="s">
        <v>7</v>
      </c>
      <c r="D39">
        <v>0.71</v>
      </c>
      <c r="E39" t="s">
        <v>38</v>
      </c>
      <c r="F39" t="s">
        <v>34</v>
      </c>
      <c r="G39">
        <v>1</v>
      </c>
      <c r="H39">
        <v>13.93</v>
      </c>
      <c r="I39" t="s">
        <v>47</v>
      </c>
      <c r="J39" s="1">
        <v>45354</v>
      </c>
      <c r="K39">
        <v>78.099985631443403</v>
      </c>
      <c r="L39" s="1">
        <v>45374</v>
      </c>
      <c r="M39" s="1">
        <v>45374</v>
      </c>
      <c r="N39">
        <v>1249.5997701030899</v>
      </c>
      <c r="O39">
        <v>0</v>
      </c>
      <c r="P39" t="str">
        <f>IF(Table1[[#This Row],[Delivery Delay]]&gt;0,"Late","On Time")</f>
        <v>On Time</v>
      </c>
      <c r="Q39">
        <v>78.099985631443118</v>
      </c>
      <c r="R39">
        <v>1.3110218064431122E-2</v>
      </c>
      <c r="S39">
        <v>8.0025622917448338E-4</v>
      </c>
      <c r="T39">
        <v>0.71</v>
      </c>
      <c r="U39">
        <v>0</v>
      </c>
      <c r="V39">
        <v>21.586212048163858</v>
      </c>
    </row>
    <row r="40" spans="1:33" x14ac:dyDescent="0.35">
      <c r="A40" t="s">
        <v>102</v>
      </c>
      <c r="B40" t="s">
        <v>12</v>
      </c>
      <c r="C40" t="s">
        <v>7</v>
      </c>
      <c r="D40">
        <v>0.83</v>
      </c>
      <c r="E40" t="s">
        <v>36</v>
      </c>
      <c r="F40" t="s">
        <v>34</v>
      </c>
      <c r="G40">
        <v>1</v>
      </c>
      <c r="H40">
        <v>440.6952</v>
      </c>
      <c r="I40" t="s">
        <v>47</v>
      </c>
      <c r="J40" s="1">
        <v>44712</v>
      </c>
      <c r="K40">
        <v>46.250429069184797</v>
      </c>
      <c r="L40" s="1">
        <v>44727</v>
      </c>
      <c r="M40" s="1">
        <v>44729</v>
      </c>
      <c r="N40">
        <v>508.75471976103199</v>
      </c>
      <c r="O40">
        <v>2</v>
      </c>
      <c r="P40" t="str">
        <f>IF(Table1[[#This Row],[Delivery Delay]]&gt;0,"Late","On Time")</f>
        <v>Late</v>
      </c>
      <c r="Q40">
        <v>46.250429069184726</v>
      </c>
      <c r="R40">
        <v>0.4203361352232356</v>
      </c>
      <c r="S40">
        <v>1.9655837305444786E-3</v>
      </c>
      <c r="T40">
        <v>0.83</v>
      </c>
      <c r="U40">
        <v>0</v>
      </c>
      <c r="V40">
        <v>33.365690216381047</v>
      </c>
    </row>
    <row r="41" spans="1:33" x14ac:dyDescent="0.35">
      <c r="A41" t="s">
        <v>99</v>
      </c>
      <c r="B41" t="s">
        <v>12</v>
      </c>
      <c r="C41" t="s">
        <v>11</v>
      </c>
      <c r="D41">
        <v>0.74</v>
      </c>
      <c r="E41" t="s">
        <v>38</v>
      </c>
      <c r="F41" t="s">
        <v>34</v>
      </c>
      <c r="G41">
        <v>1</v>
      </c>
      <c r="H41">
        <v>265.27440000000001</v>
      </c>
      <c r="I41" t="s">
        <v>50</v>
      </c>
      <c r="J41" s="1">
        <v>45250</v>
      </c>
      <c r="K41">
        <v>68.631449531045504</v>
      </c>
      <c r="L41" s="1">
        <v>45274</v>
      </c>
      <c r="M41" s="1">
        <v>45275</v>
      </c>
      <c r="N41">
        <v>686.31449531045496</v>
      </c>
      <c r="O41">
        <v>1</v>
      </c>
      <c r="P41" t="str">
        <f>IF(Table1[[#This Row],[Delivery Delay]]&gt;0,"Late","On Time")</f>
        <v>Late</v>
      </c>
      <c r="Q41">
        <v>68.63144953104549</v>
      </c>
      <c r="R41">
        <v>0.7894263206386013</v>
      </c>
      <c r="S41">
        <v>1.4570579622504537E-3</v>
      </c>
      <c r="T41">
        <v>0.74</v>
      </c>
      <c r="U41">
        <v>0</v>
      </c>
      <c r="V41">
        <v>38.03223815163954</v>
      </c>
    </row>
    <row r="42" spans="1:33" x14ac:dyDescent="0.35">
      <c r="A42" t="s">
        <v>103</v>
      </c>
      <c r="B42" t="s">
        <v>14</v>
      </c>
      <c r="C42" t="s">
        <v>5</v>
      </c>
      <c r="D42">
        <v>0.64</v>
      </c>
      <c r="E42" t="s">
        <v>36</v>
      </c>
      <c r="F42" t="s">
        <v>34</v>
      </c>
      <c r="G42">
        <v>1</v>
      </c>
      <c r="H42">
        <v>180.725999999999</v>
      </c>
      <c r="I42" t="s">
        <v>48</v>
      </c>
      <c r="J42" s="1">
        <v>44879</v>
      </c>
      <c r="K42">
        <v>33.133835670211901</v>
      </c>
      <c r="L42" s="1">
        <v>44901</v>
      </c>
      <c r="M42" s="1">
        <v>44904</v>
      </c>
      <c r="N42">
        <v>397.60602804254302</v>
      </c>
      <c r="O42">
        <v>3</v>
      </c>
      <c r="P42" t="str">
        <f>IF(Table1[[#This Row],[Delivery Delay]]&gt;0,"Late","On Time")</f>
        <v>Late</v>
      </c>
      <c r="Q42">
        <v>33.133835670211916</v>
      </c>
      <c r="R42">
        <v>0.71840391785853297</v>
      </c>
      <c r="S42">
        <v>2.5150524123668519E-3</v>
      </c>
      <c r="T42">
        <v>0.64</v>
      </c>
      <c r="U42">
        <v>0</v>
      </c>
      <c r="V42">
        <v>33.643529929541664</v>
      </c>
    </row>
    <row r="43" spans="1:33" x14ac:dyDescent="0.35">
      <c r="A43" t="s">
        <v>104</v>
      </c>
      <c r="B43" t="s">
        <v>8</v>
      </c>
      <c r="C43" t="s">
        <v>5</v>
      </c>
      <c r="D43">
        <v>0.96</v>
      </c>
      <c r="E43" t="s">
        <v>37</v>
      </c>
      <c r="F43" t="s">
        <v>34</v>
      </c>
      <c r="G43">
        <v>1</v>
      </c>
      <c r="H43">
        <v>453.97599999999898</v>
      </c>
      <c r="I43" t="s">
        <v>48</v>
      </c>
      <c r="J43" s="1">
        <v>44355</v>
      </c>
      <c r="K43">
        <v>22.468785943647301</v>
      </c>
      <c r="L43" s="1">
        <v>44368</v>
      </c>
      <c r="M43" s="1">
        <v>44372</v>
      </c>
      <c r="N43">
        <v>224.68785943647299</v>
      </c>
      <c r="O43">
        <v>4</v>
      </c>
      <c r="P43" t="str">
        <f>IF(Table1[[#This Row],[Delivery Delay]]&gt;0,"Late","On Time")</f>
        <v>Late</v>
      </c>
      <c r="Q43">
        <v>22.468785943647298</v>
      </c>
      <c r="R43">
        <v>0.21627420827068727</v>
      </c>
      <c r="S43">
        <v>4.4506187495312113E-3</v>
      </c>
      <c r="T43">
        <v>0.96</v>
      </c>
      <c r="U43">
        <v>0</v>
      </c>
      <c r="V43">
        <v>33.259002727899677</v>
      </c>
    </row>
    <row r="44" spans="1:33" x14ac:dyDescent="0.35">
      <c r="A44" t="s">
        <v>105</v>
      </c>
      <c r="B44" t="s">
        <v>8</v>
      </c>
      <c r="C44" t="s">
        <v>9</v>
      </c>
      <c r="D44">
        <v>0.65</v>
      </c>
      <c r="E44" t="s">
        <v>38</v>
      </c>
      <c r="F44" t="s">
        <v>34</v>
      </c>
      <c r="G44">
        <v>1</v>
      </c>
      <c r="H44">
        <v>400.74149999999997</v>
      </c>
      <c r="I44" t="s">
        <v>50</v>
      </c>
      <c r="J44" s="1">
        <v>44222</v>
      </c>
      <c r="K44">
        <v>20.479569020345298</v>
      </c>
      <c r="L44" s="1">
        <v>44232</v>
      </c>
      <c r="M44" s="1">
        <v>44231</v>
      </c>
      <c r="N44">
        <v>266.234397264488</v>
      </c>
      <c r="O44">
        <v>-1</v>
      </c>
      <c r="P44" t="str">
        <f>IF(Table1[[#This Row],[Delivery Delay]]&gt;0,"Late","On Time")</f>
        <v>On Time</v>
      </c>
      <c r="Q44">
        <v>20.479569020345231</v>
      </c>
      <c r="R44">
        <v>0.32826367156062275</v>
      </c>
      <c r="S44">
        <v>3.7560886582456124E-3</v>
      </c>
      <c r="T44">
        <v>0.65</v>
      </c>
      <c r="U44">
        <v>0</v>
      </c>
      <c r="V44">
        <v>26.177956090959825</v>
      </c>
    </row>
    <row r="45" spans="1:33" x14ac:dyDescent="0.35">
      <c r="A45" t="s">
        <v>106</v>
      </c>
      <c r="B45" t="s">
        <v>14</v>
      </c>
      <c r="C45" t="s">
        <v>9</v>
      </c>
      <c r="D45">
        <v>0.97</v>
      </c>
      <c r="E45" t="s">
        <v>38</v>
      </c>
      <c r="F45" t="s">
        <v>34</v>
      </c>
      <c r="G45">
        <v>1</v>
      </c>
      <c r="H45">
        <v>293.93909999999897</v>
      </c>
      <c r="I45" t="s">
        <v>48</v>
      </c>
      <c r="J45" s="1">
        <v>44418</v>
      </c>
      <c r="K45">
        <v>63.039713691771802</v>
      </c>
      <c r="L45" s="1">
        <v>44436</v>
      </c>
      <c r="M45" s="1">
        <v>44441</v>
      </c>
      <c r="N45">
        <v>693.43685060948997</v>
      </c>
      <c r="O45">
        <v>5</v>
      </c>
      <c r="P45" t="str">
        <f>IF(Table1[[#This Row],[Delivery Delay]]&gt;0,"Late","On Time")</f>
        <v>Late</v>
      </c>
      <c r="Q45">
        <v>63.039713691771816</v>
      </c>
      <c r="R45">
        <v>0.52600986633896796</v>
      </c>
      <c r="S45">
        <v>1.4420923824874018E-3</v>
      </c>
      <c r="T45">
        <v>0.97</v>
      </c>
      <c r="U45">
        <v>0</v>
      </c>
      <c r="V45">
        <v>39.663460098253978</v>
      </c>
    </row>
    <row r="46" spans="1:33" x14ac:dyDescent="0.35">
      <c r="A46" t="s">
        <v>108</v>
      </c>
      <c r="B46" t="s">
        <v>10</v>
      </c>
      <c r="C46" t="s">
        <v>9</v>
      </c>
      <c r="D46">
        <v>0.77</v>
      </c>
      <c r="E46" t="s">
        <v>35</v>
      </c>
      <c r="F46" t="s">
        <v>39</v>
      </c>
      <c r="G46">
        <v>0</v>
      </c>
      <c r="H46">
        <v>141.9837</v>
      </c>
      <c r="I46" t="s">
        <v>49</v>
      </c>
      <c r="J46" s="1">
        <v>44388</v>
      </c>
      <c r="K46">
        <v>25.4189593515414</v>
      </c>
      <c r="L46" s="1">
        <v>44408</v>
      </c>
      <c r="M46" s="1">
        <v>44406</v>
      </c>
      <c r="N46">
        <v>203.351674812331</v>
      </c>
      <c r="O46">
        <v>-2</v>
      </c>
      <c r="P46" t="str">
        <f>IF(Table1[[#This Row],[Delivery Delay]]&gt;0,"Late","On Time")</f>
        <v>On Time</v>
      </c>
      <c r="Q46">
        <v>25.418959351541375</v>
      </c>
      <c r="R46">
        <v>0.30182089040156779</v>
      </c>
      <c r="S46">
        <v>4.9175892006932276E-3</v>
      </c>
      <c r="T46">
        <v>0.77</v>
      </c>
      <c r="U46">
        <v>1</v>
      </c>
      <c r="V46">
        <v>49.283945484052154</v>
      </c>
    </row>
    <row r="47" spans="1:33" x14ac:dyDescent="0.35">
      <c r="A47" t="s">
        <v>107</v>
      </c>
      <c r="B47" t="s">
        <v>15</v>
      </c>
      <c r="C47" t="s">
        <v>7</v>
      </c>
      <c r="D47">
        <v>0.67</v>
      </c>
      <c r="E47" t="s">
        <v>35</v>
      </c>
      <c r="F47" t="s">
        <v>34</v>
      </c>
      <c r="G47">
        <v>1</v>
      </c>
      <c r="H47">
        <v>527.44579999999996</v>
      </c>
      <c r="I47" t="s">
        <v>47</v>
      </c>
      <c r="J47" s="1">
        <v>45137</v>
      </c>
      <c r="K47">
        <v>43.056329316659898</v>
      </c>
      <c r="L47" s="1">
        <v>45158</v>
      </c>
      <c r="M47" s="1">
        <v>45162</v>
      </c>
      <c r="N47">
        <v>344.45063453327901</v>
      </c>
      <c r="O47">
        <v>4</v>
      </c>
      <c r="P47" t="str">
        <f>IF(Table1[[#This Row],[Delivery Delay]]&gt;0,"Late","On Time")</f>
        <v>Late</v>
      </c>
      <c r="Q47">
        <v>43.056329316659877</v>
      </c>
      <c r="R47">
        <v>0.29266517361572347</v>
      </c>
      <c r="S47">
        <v>2.9031736328631592E-3</v>
      </c>
      <c r="T47">
        <v>0.67</v>
      </c>
      <c r="U47">
        <v>0</v>
      </c>
      <c r="V47">
        <v>26.040398681300363</v>
      </c>
    </row>
    <row r="48" spans="1:33" x14ac:dyDescent="0.35">
      <c r="A48" t="s">
        <v>100</v>
      </c>
      <c r="B48" t="s">
        <v>13</v>
      </c>
      <c r="C48" t="s">
        <v>9</v>
      </c>
      <c r="D48">
        <v>0.81</v>
      </c>
      <c r="E48" t="s">
        <v>35</v>
      </c>
      <c r="F48" t="s">
        <v>34</v>
      </c>
      <c r="G48">
        <v>1</v>
      </c>
      <c r="H48">
        <v>477.10250000000002</v>
      </c>
      <c r="I48" t="s">
        <v>50</v>
      </c>
      <c r="J48" s="1">
        <v>44575</v>
      </c>
      <c r="K48">
        <v>23.319825192023799</v>
      </c>
      <c r="L48" s="1">
        <v>44595</v>
      </c>
      <c r="M48" s="1">
        <v>44594</v>
      </c>
      <c r="N48">
        <v>349.79737788035698</v>
      </c>
      <c r="O48">
        <v>-1</v>
      </c>
      <c r="P48" t="str">
        <f>IF(Table1[[#This Row],[Delivery Delay]]&gt;0,"Late","On Time")</f>
        <v>On Time</v>
      </c>
      <c r="Q48">
        <v>23.319825192023799</v>
      </c>
      <c r="R48">
        <v>0.69756671698692529</v>
      </c>
      <c r="S48">
        <v>2.8587978733849609E-3</v>
      </c>
      <c r="T48">
        <v>0.81</v>
      </c>
      <c r="U48">
        <v>0</v>
      </c>
      <c r="V48">
        <v>38.33709827594005</v>
      </c>
    </row>
    <row r="49" spans="1:22" x14ac:dyDescent="0.35">
      <c r="A49" t="s">
        <v>101</v>
      </c>
      <c r="B49" t="s">
        <v>12</v>
      </c>
      <c r="C49" t="s">
        <v>5</v>
      </c>
      <c r="D49">
        <v>0.94</v>
      </c>
      <c r="E49" t="s">
        <v>36</v>
      </c>
      <c r="F49" t="s">
        <v>34</v>
      </c>
      <c r="G49">
        <v>1</v>
      </c>
      <c r="H49">
        <v>80.094999999999999</v>
      </c>
      <c r="I49" t="s">
        <v>47</v>
      </c>
      <c r="J49" s="1">
        <v>45059</v>
      </c>
      <c r="K49">
        <v>44.617250749553499</v>
      </c>
      <c r="L49" s="1">
        <v>45076</v>
      </c>
      <c r="M49" s="1">
        <v>45082</v>
      </c>
      <c r="N49">
        <v>580.024259744196</v>
      </c>
      <c r="O49">
        <v>6</v>
      </c>
      <c r="P49" t="str">
        <f>IF(Table1[[#This Row],[Delivery Delay]]&gt;0,"Late","On Time")</f>
        <v>Late</v>
      </c>
      <c r="Q49">
        <v>44.617250749553541</v>
      </c>
      <c r="R49">
        <v>0.69337315500151497</v>
      </c>
      <c r="S49">
        <v>1.7240658182832264E-3</v>
      </c>
      <c r="T49">
        <v>0.94</v>
      </c>
      <c r="U49">
        <v>0</v>
      </c>
      <c r="V49">
        <v>42.119185074578795</v>
      </c>
    </row>
    <row r="50" spans="1:22" x14ac:dyDescent="0.35">
      <c r="A50" t="s">
        <v>102</v>
      </c>
      <c r="B50" t="s">
        <v>10</v>
      </c>
      <c r="C50" t="s">
        <v>11</v>
      </c>
      <c r="D50">
        <v>0.89</v>
      </c>
      <c r="E50" t="s">
        <v>38</v>
      </c>
      <c r="F50" t="s">
        <v>34</v>
      </c>
      <c r="G50">
        <v>1</v>
      </c>
      <c r="H50">
        <v>61.396499999999897</v>
      </c>
      <c r="I50" t="s">
        <v>51</v>
      </c>
      <c r="J50" s="1">
        <v>44562</v>
      </c>
      <c r="K50">
        <v>7.0942582747983298</v>
      </c>
      <c r="L50" s="1">
        <v>44578</v>
      </c>
      <c r="M50" s="1">
        <v>44583</v>
      </c>
      <c r="N50">
        <v>120.602390671571</v>
      </c>
      <c r="O50">
        <v>5</v>
      </c>
      <c r="P50" t="str">
        <f>IF(Table1[[#This Row],[Delivery Delay]]&gt;0,"Late","On Time")</f>
        <v>Late</v>
      </c>
      <c r="Q50">
        <v>7.0942582747982943</v>
      </c>
      <c r="R50">
        <v>9.7225356361537257E-2</v>
      </c>
      <c r="S50">
        <v>8.291709595734614E-3</v>
      </c>
      <c r="T50">
        <v>0.89</v>
      </c>
      <c r="U50">
        <v>0</v>
      </c>
      <c r="V50">
        <v>28.893258415102785</v>
      </c>
    </row>
    <row r="51" spans="1:22" x14ac:dyDescent="0.35">
      <c r="A51" t="s">
        <v>99</v>
      </c>
      <c r="B51" t="s">
        <v>12</v>
      </c>
      <c r="C51" t="s">
        <v>5</v>
      </c>
      <c r="D51">
        <v>0.91</v>
      </c>
      <c r="E51" t="s">
        <v>38</v>
      </c>
      <c r="F51" t="s">
        <v>39</v>
      </c>
      <c r="G51">
        <v>0</v>
      </c>
      <c r="H51">
        <v>237.695999999999</v>
      </c>
      <c r="I51" t="s">
        <v>49</v>
      </c>
      <c r="J51" s="1">
        <v>45157</v>
      </c>
      <c r="K51">
        <v>53.156621331245397</v>
      </c>
      <c r="L51" s="1">
        <v>45175</v>
      </c>
      <c r="M51" s="1">
        <v>45179</v>
      </c>
      <c r="N51">
        <v>318.939727987472</v>
      </c>
      <c r="O51">
        <v>4</v>
      </c>
      <c r="P51" t="str">
        <f>IF(Table1[[#This Row],[Delivery Delay]]&gt;0,"Late","On Time")</f>
        <v>Late</v>
      </c>
      <c r="Q51">
        <v>53.156621331245333</v>
      </c>
      <c r="R51">
        <v>0.38344496496186298</v>
      </c>
      <c r="S51">
        <v>3.1353886400733375E-3</v>
      </c>
      <c r="T51">
        <v>0.91</v>
      </c>
      <c r="U51">
        <v>1</v>
      </c>
      <c r="V51">
        <v>55.062960958439454</v>
      </c>
    </row>
    <row r="52" spans="1:22" x14ac:dyDescent="0.35">
      <c r="A52" t="s">
        <v>103</v>
      </c>
      <c r="B52" t="s">
        <v>13</v>
      </c>
      <c r="C52" t="s">
        <v>7</v>
      </c>
      <c r="D52">
        <v>0.86</v>
      </c>
      <c r="E52" t="s">
        <v>35</v>
      </c>
      <c r="F52" t="s">
        <v>34</v>
      </c>
      <c r="G52">
        <v>1</v>
      </c>
      <c r="H52">
        <v>162.3296</v>
      </c>
      <c r="I52" t="s">
        <v>45</v>
      </c>
      <c r="J52" s="1">
        <v>45307</v>
      </c>
      <c r="K52">
        <v>45.288783242616702</v>
      </c>
      <c r="L52" s="1">
        <v>45330</v>
      </c>
      <c r="M52" s="1">
        <v>45336</v>
      </c>
      <c r="N52">
        <v>588.75418215401703</v>
      </c>
      <c r="O52">
        <v>6</v>
      </c>
      <c r="P52" t="str">
        <f>IF(Table1[[#This Row],[Delivery Delay]]&gt;0,"Late","On Time")</f>
        <v>Late</v>
      </c>
      <c r="Q52">
        <v>45.288783242616695</v>
      </c>
      <c r="R52">
        <v>0.40131958893380693</v>
      </c>
      <c r="S52">
        <v>1.6985017352087392E-3</v>
      </c>
      <c r="T52">
        <v>0.86</v>
      </c>
      <c r="U52">
        <v>0</v>
      </c>
      <c r="V52">
        <v>33.877346830732399</v>
      </c>
    </row>
    <row r="53" spans="1:22" x14ac:dyDescent="0.35">
      <c r="A53" t="s">
        <v>104</v>
      </c>
      <c r="B53" t="s">
        <v>15</v>
      </c>
      <c r="C53" t="s">
        <v>5</v>
      </c>
      <c r="D53">
        <v>0.87</v>
      </c>
      <c r="E53" t="s">
        <v>38</v>
      </c>
      <c r="F53" t="s">
        <v>34</v>
      </c>
      <c r="G53">
        <v>1</v>
      </c>
      <c r="H53">
        <v>-4.8192000000000199</v>
      </c>
      <c r="I53" t="s">
        <v>49</v>
      </c>
      <c r="J53" s="1">
        <v>45353</v>
      </c>
      <c r="K53">
        <v>9.1748363153580499</v>
      </c>
      <c r="L53" s="1">
        <v>45373</v>
      </c>
      <c r="M53" s="1">
        <v>45372</v>
      </c>
      <c r="N53">
        <v>183.496726307161</v>
      </c>
      <c r="O53">
        <v>-1</v>
      </c>
      <c r="P53" t="str">
        <f>IF(Table1[[#This Row],[Delivery Delay]]&gt;0,"Late","On Time")</f>
        <v>On Time</v>
      </c>
      <c r="Q53">
        <v>9.1748363153580499</v>
      </c>
      <c r="R53">
        <v>0</v>
      </c>
      <c r="S53">
        <v>5.4496885046661173E-3</v>
      </c>
      <c r="T53">
        <v>0.87</v>
      </c>
      <c r="U53">
        <v>0</v>
      </c>
      <c r="V53">
        <v>26.263490655139986</v>
      </c>
    </row>
    <row r="54" spans="1:22" x14ac:dyDescent="0.35">
      <c r="A54" t="s">
        <v>105</v>
      </c>
      <c r="B54" t="s">
        <v>8</v>
      </c>
      <c r="C54" t="s">
        <v>9</v>
      </c>
      <c r="D54">
        <v>0.93</v>
      </c>
      <c r="E54" t="s">
        <v>35</v>
      </c>
      <c r="F54" t="s">
        <v>34</v>
      </c>
      <c r="G54">
        <v>1</v>
      </c>
      <c r="H54">
        <v>367.14199999999897</v>
      </c>
      <c r="I54" t="s">
        <v>50</v>
      </c>
      <c r="J54" s="1">
        <v>44377</v>
      </c>
      <c r="K54">
        <v>4.9976941918426396</v>
      </c>
      <c r="L54" s="1">
        <v>44396</v>
      </c>
      <c r="M54" s="1">
        <v>44393</v>
      </c>
      <c r="N54">
        <v>39.981553534741103</v>
      </c>
      <c r="O54">
        <v>-3</v>
      </c>
      <c r="P54" t="str">
        <f>IF(Table1[[#This Row],[Delivery Delay]]&gt;0,"Late","On Time")</f>
        <v>On Time</v>
      </c>
      <c r="Q54">
        <v>4.9976941918426379</v>
      </c>
      <c r="R54">
        <v>0.37103714797948767</v>
      </c>
      <c r="S54">
        <v>2.5011534359991081E-2</v>
      </c>
      <c r="T54">
        <v>0.93</v>
      </c>
      <c r="U54">
        <v>0</v>
      </c>
      <c r="V54">
        <v>36.071088990389491</v>
      </c>
    </row>
    <row r="55" spans="1:22" x14ac:dyDescent="0.35">
      <c r="A55" t="s">
        <v>106</v>
      </c>
      <c r="B55" t="s">
        <v>10</v>
      </c>
      <c r="C55" t="s">
        <v>7</v>
      </c>
      <c r="D55">
        <v>0.7</v>
      </c>
      <c r="E55" t="s">
        <v>38</v>
      </c>
      <c r="F55" t="s">
        <v>34</v>
      </c>
      <c r="G55">
        <v>1</v>
      </c>
      <c r="H55">
        <v>-112.82</v>
      </c>
      <c r="I55" t="s">
        <v>45</v>
      </c>
      <c r="J55" s="1">
        <v>44491</v>
      </c>
      <c r="K55">
        <v>26.0575281180828</v>
      </c>
      <c r="L55" s="1">
        <v>44502</v>
      </c>
      <c r="M55" s="1">
        <v>44506</v>
      </c>
      <c r="N55">
        <v>260.57528118082797</v>
      </c>
      <c r="O55">
        <v>4</v>
      </c>
      <c r="P55" t="str">
        <f>IF(Table1[[#This Row],[Delivery Delay]]&gt;0,"Late","On Time")</f>
        <v>Late</v>
      </c>
      <c r="Q55">
        <v>26.057528118082796</v>
      </c>
      <c r="R55">
        <v>0</v>
      </c>
      <c r="S55">
        <v>3.8376625575088346E-3</v>
      </c>
      <c r="T55">
        <v>0.7</v>
      </c>
      <c r="U55">
        <v>0</v>
      </c>
      <c r="V55">
        <v>21.115129876725263</v>
      </c>
    </row>
    <row r="56" spans="1:22" x14ac:dyDescent="0.35">
      <c r="A56" t="s">
        <v>108</v>
      </c>
      <c r="B56" t="s">
        <v>6</v>
      </c>
      <c r="C56" t="s">
        <v>11</v>
      </c>
      <c r="D56">
        <v>0.79</v>
      </c>
      <c r="E56" t="s">
        <v>36</v>
      </c>
      <c r="F56" t="s">
        <v>34</v>
      </c>
      <c r="G56">
        <v>1</v>
      </c>
      <c r="H56">
        <v>419.512</v>
      </c>
      <c r="I56" t="s">
        <v>51</v>
      </c>
      <c r="J56" s="1">
        <v>44436</v>
      </c>
      <c r="K56">
        <v>26.2505489148853</v>
      </c>
      <c r="L56" s="1">
        <v>44454</v>
      </c>
      <c r="M56" s="1">
        <v>44458</v>
      </c>
      <c r="N56">
        <v>262.50548914885297</v>
      </c>
      <c r="O56">
        <v>4</v>
      </c>
      <c r="P56" t="str">
        <f>IF(Table1[[#This Row],[Delivery Delay]]&gt;0,"Late","On Time")</f>
        <v>Late</v>
      </c>
      <c r="Q56">
        <v>26.250548914885297</v>
      </c>
      <c r="R56">
        <v>0.67957855995023586</v>
      </c>
      <c r="S56">
        <v>3.809444150072431E-3</v>
      </c>
      <c r="T56">
        <v>0.79</v>
      </c>
      <c r="U56">
        <v>0</v>
      </c>
      <c r="V56">
        <v>37.405854523506889</v>
      </c>
    </row>
    <row r="57" spans="1:22" x14ac:dyDescent="0.35">
      <c r="A57" t="s">
        <v>103</v>
      </c>
      <c r="B57" t="s">
        <v>6</v>
      </c>
      <c r="C57" t="s">
        <v>9</v>
      </c>
      <c r="D57">
        <v>0.69</v>
      </c>
      <c r="E57" t="s">
        <v>35</v>
      </c>
      <c r="F57" t="s">
        <v>34</v>
      </c>
      <c r="G57">
        <v>1</v>
      </c>
      <c r="H57">
        <v>251.43599999999901</v>
      </c>
      <c r="I57" t="s">
        <v>50</v>
      </c>
      <c r="J57" s="1">
        <v>44326</v>
      </c>
      <c r="K57">
        <v>24.339096252842602</v>
      </c>
      <c r="L57" s="1">
        <v>44345</v>
      </c>
      <c r="M57" s="1">
        <v>44347</v>
      </c>
      <c r="N57">
        <v>413.76463629832398</v>
      </c>
      <c r="O57">
        <v>2</v>
      </c>
      <c r="P57" t="str">
        <f>IF(Table1[[#This Row],[Delivery Delay]]&gt;0,"Late","On Time")</f>
        <v>Late</v>
      </c>
      <c r="Q57">
        <v>24.339096252842587</v>
      </c>
      <c r="R57">
        <v>0.72244250594765991</v>
      </c>
      <c r="S57">
        <v>2.4168329341684018E-3</v>
      </c>
      <c r="T57">
        <v>0.69</v>
      </c>
      <c r="U57">
        <v>0</v>
      </c>
      <c r="V57">
        <v>35.221355106978244</v>
      </c>
    </row>
    <row r="58" spans="1:22" x14ac:dyDescent="0.35">
      <c r="A58" t="s">
        <v>104</v>
      </c>
      <c r="B58" t="s">
        <v>13</v>
      </c>
      <c r="C58" t="s">
        <v>7</v>
      </c>
      <c r="D58">
        <v>0.99</v>
      </c>
      <c r="E58" t="s">
        <v>35</v>
      </c>
      <c r="F58" t="s">
        <v>34</v>
      </c>
      <c r="G58">
        <v>1</v>
      </c>
      <c r="H58">
        <v>145.149599999999</v>
      </c>
      <c r="I58" t="s">
        <v>46</v>
      </c>
      <c r="J58" s="1">
        <v>44991</v>
      </c>
      <c r="K58">
        <v>71.034218465793501</v>
      </c>
      <c r="L58" s="1">
        <v>45012</v>
      </c>
      <c r="M58" s="1">
        <v>45013</v>
      </c>
      <c r="N58">
        <v>1278.6159323842801</v>
      </c>
      <c r="O58">
        <v>1</v>
      </c>
      <c r="P58" t="str">
        <f>IF(Table1[[#This Row],[Delivery Delay]]&gt;0,"Late","On Time")</f>
        <v>Late</v>
      </c>
      <c r="Q58">
        <v>71.034218465793344</v>
      </c>
      <c r="R58">
        <v>0.64205713638631479</v>
      </c>
      <c r="S58">
        <v>7.8209568227048827E-4</v>
      </c>
      <c r="T58">
        <v>0.99</v>
      </c>
      <c r="U58">
        <v>0</v>
      </c>
      <c r="V58">
        <v>42.564605598194412</v>
      </c>
    </row>
    <row r="59" spans="1:22" x14ac:dyDescent="0.35">
      <c r="A59" t="s">
        <v>105</v>
      </c>
      <c r="B59" t="s">
        <v>6</v>
      </c>
      <c r="C59" t="s">
        <v>11</v>
      </c>
      <c r="D59">
        <v>0.97</v>
      </c>
      <c r="E59" t="s">
        <v>36</v>
      </c>
      <c r="F59" t="s">
        <v>34</v>
      </c>
      <c r="G59">
        <v>1</v>
      </c>
      <c r="H59">
        <v>67.589200000000005</v>
      </c>
      <c r="I59" t="s">
        <v>47</v>
      </c>
      <c r="J59" s="1">
        <v>44657</v>
      </c>
      <c r="K59">
        <v>60.100097294462103</v>
      </c>
      <c r="L59" s="1">
        <v>44671</v>
      </c>
      <c r="M59" s="1">
        <v>44673</v>
      </c>
      <c r="N59">
        <v>901.50145941693199</v>
      </c>
      <c r="O59">
        <v>2</v>
      </c>
      <c r="P59" t="str">
        <f>IF(Table1[[#This Row],[Delivery Delay]]&gt;0,"Late","On Time")</f>
        <v>Late</v>
      </c>
      <c r="Q59">
        <v>60.100097294462131</v>
      </c>
      <c r="R59">
        <v>0.46453313832653381</v>
      </c>
      <c r="S59">
        <v>1.1092605447879965E-3</v>
      </c>
      <c r="T59">
        <v>0.97</v>
      </c>
      <c r="U59">
        <v>0</v>
      </c>
      <c r="V59">
        <v>38.423940582874316</v>
      </c>
    </row>
    <row r="60" spans="1:22" x14ac:dyDescent="0.35">
      <c r="A60" t="s">
        <v>106</v>
      </c>
      <c r="B60" t="s">
        <v>8</v>
      </c>
      <c r="C60" t="s">
        <v>9</v>
      </c>
      <c r="D60">
        <v>0.62</v>
      </c>
      <c r="E60" t="s">
        <v>35</v>
      </c>
      <c r="F60" t="s">
        <v>34</v>
      </c>
      <c r="G60">
        <v>1</v>
      </c>
      <c r="H60">
        <v>422.36599999999902</v>
      </c>
      <c r="I60" t="s">
        <v>51</v>
      </c>
      <c r="J60" s="1">
        <v>44254</v>
      </c>
      <c r="K60">
        <v>37.311239872485601</v>
      </c>
      <c r="L60" s="1">
        <v>44277</v>
      </c>
      <c r="M60" s="1">
        <v>44274</v>
      </c>
      <c r="N60">
        <v>485.04611834231201</v>
      </c>
      <c r="O60">
        <v>-3</v>
      </c>
      <c r="P60" t="str">
        <f>IF(Table1[[#This Row],[Delivery Delay]]&gt;0,"Late","On Time")</f>
        <v>On Time</v>
      </c>
      <c r="Q60">
        <v>37.311239872485537</v>
      </c>
      <c r="R60">
        <v>0.6761469329209524</v>
      </c>
      <c r="S60">
        <v>2.0616596281969814E-3</v>
      </c>
      <c r="T60">
        <v>0.62</v>
      </c>
      <c r="U60">
        <v>0</v>
      </c>
      <c r="V60">
        <v>32.184788447264957</v>
      </c>
    </row>
    <row r="61" spans="1:22" x14ac:dyDescent="0.35">
      <c r="A61" t="s">
        <v>108</v>
      </c>
      <c r="B61" t="s">
        <v>13</v>
      </c>
      <c r="C61" t="s">
        <v>9</v>
      </c>
      <c r="D61">
        <v>0.88</v>
      </c>
      <c r="E61" t="s">
        <v>35</v>
      </c>
      <c r="F61" t="s">
        <v>34</v>
      </c>
      <c r="G61">
        <v>1</v>
      </c>
      <c r="H61">
        <v>385.988799999999</v>
      </c>
      <c r="I61" t="s">
        <v>47</v>
      </c>
      <c r="J61" s="1">
        <v>45286</v>
      </c>
      <c r="K61">
        <v>19.8419335908467</v>
      </c>
      <c r="L61" s="1">
        <v>45309</v>
      </c>
      <c r="M61" s="1">
        <v>45307</v>
      </c>
      <c r="N61">
        <v>238.10320309016001</v>
      </c>
      <c r="O61">
        <v>-2</v>
      </c>
      <c r="P61" t="str">
        <f>IF(Table1[[#This Row],[Delivery Delay]]&gt;0,"Late","On Time")</f>
        <v>On Time</v>
      </c>
      <c r="Q61">
        <v>19.841933590846669</v>
      </c>
      <c r="R61">
        <v>0.74373242736644607</v>
      </c>
      <c r="S61">
        <v>4.1998595021896477E-3</v>
      </c>
      <c r="T61">
        <v>0.88</v>
      </c>
      <c r="U61">
        <v>0</v>
      </c>
      <c r="V61">
        <v>41.400644332394613</v>
      </c>
    </row>
    <row r="62" spans="1:22" x14ac:dyDescent="0.35">
      <c r="A62" t="s">
        <v>107</v>
      </c>
      <c r="B62" t="s">
        <v>8</v>
      </c>
      <c r="C62" t="s">
        <v>7</v>
      </c>
      <c r="D62">
        <v>0.96</v>
      </c>
      <c r="E62" t="s">
        <v>38</v>
      </c>
      <c r="F62" t="s">
        <v>34</v>
      </c>
      <c r="G62">
        <v>1</v>
      </c>
      <c r="H62">
        <v>295.54500000000002</v>
      </c>
      <c r="I62" t="s">
        <v>48</v>
      </c>
      <c r="J62" s="1">
        <v>44994</v>
      </c>
      <c r="K62">
        <v>40.255346353670802</v>
      </c>
      <c r="L62" s="1">
        <v>45009</v>
      </c>
      <c r="M62" s="1">
        <v>45006</v>
      </c>
      <c r="N62">
        <v>644.08554165873295</v>
      </c>
      <c r="O62">
        <v>-3</v>
      </c>
      <c r="P62" t="str">
        <f>IF(Table1[[#This Row],[Delivery Delay]]&gt;0,"Late","On Time")</f>
        <v>On Time</v>
      </c>
      <c r="Q62">
        <v>40.255346353670809</v>
      </c>
      <c r="R62">
        <v>0.20743712032679534</v>
      </c>
      <c r="S62">
        <v>1.5525888027616173E-3</v>
      </c>
      <c r="T62">
        <v>0.96</v>
      </c>
      <c r="U62">
        <v>0</v>
      </c>
      <c r="V62">
        <v>32.995320070618753</v>
      </c>
    </row>
    <row r="63" spans="1:22" x14ac:dyDescent="0.35">
      <c r="A63" t="s">
        <v>100</v>
      </c>
      <c r="B63" t="s">
        <v>15</v>
      </c>
      <c r="C63" t="s">
        <v>9</v>
      </c>
      <c r="D63">
        <v>0.67</v>
      </c>
      <c r="E63" t="s">
        <v>36</v>
      </c>
      <c r="F63" t="s">
        <v>34</v>
      </c>
      <c r="G63">
        <v>1</v>
      </c>
      <c r="H63">
        <v>151.19040000000001</v>
      </c>
      <c r="I63" t="s">
        <v>46</v>
      </c>
      <c r="J63" s="1">
        <v>44451</v>
      </c>
      <c r="K63">
        <v>54.887526130979097</v>
      </c>
      <c r="L63" s="1">
        <v>44462</v>
      </c>
      <c r="M63" s="1">
        <v>44467</v>
      </c>
      <c r="N63">
        <v>493.98773517881199</v>
      </c>
      <c r="O63">
        <v>5</v>
      </c>
      <c r="P63" t="str">
        <f>IF(Table1[[#This Row],[Delivery Delay]]&gt;0,"Late","On Time")</f>
        <v>Late</v>
      </c>
      <c r="Q63">
        <v>54.887526130979111</v>
      </c>
      <c r="R63">
        <v>0.77015991002005002</v>
      </c>
      <c r="S63">
        <v>2.0243417574689854E-3</v>
      </c>
      <c r="T63">
        <v>0.67</v>
      </c>
      <c r="U63">
        <v>0</v>
      </c>
      <c r="V63">
        <v>35.563928453125072</v>
      </c>
    </row>
    <row r="64" spans="1:22" x14ac:dyDescent="0.35">
      <c r="A64" t="s">
        <v>101</v>
      </c>
      <c r="B64" t="s">
        <v>12</v>
      </c>
      <c r="C64" t="s">
        <v>9</v>
      </c>
      <c r="D64">
        <v>0.82</v>
      </c>
      <c r="E64" t="s">
        <v>38</v>
      </c>
      <c r="F64" t="s">
        <v>34</v>
      </c>
      <c r="G64">
        <v>1</v>
      </c>
      <c r="H64">
        <v>453.69600000000003</v>
      </c>
      <c r="I64" t="s">
        <v>46</v>
      </c>
      <c r="J64" s="1">
        <v>45124</v>
      </c>
      <c r="K64">
        <v>35.121807422929201</v>
      </c>
      <c r="L64" s="1">
        <v>45137</v>
      </c>
      <c r="M64" s="1">
        <v>45141</v>
      </c>
      <c r="N64">
        <v>386.33988165222098</v>
      </c>
      <c r="O64">
        <v>4</v>
      </c>
      <c r="P64" t="str">
        <f>IF(Table1[[#This Row],[Delivery Delay]]&gt;0,"Late","On Time")</f>
        <v>Late</v>
      </c>
      <c r="Q64">
        <v>35.12180742292918</v>
      </c>
      <c r="R64">
        <v>0.30521171937226876</v>
      </c>
      <c r="S64">
        <v>2.5883944358097342E-3</v>
      </c>
      <c r="T64">
        <v>0.82</v>
      </c>
      <c r="U64">
        <v>0</v>
      </c>
      <c r="V64">
        <v>30.78188622051966</v>
      </c>
    </row>
    <row r="65" spans="1:22" x14ac:dyDescent="0.35">
      <c r="A65" t="s">
        <v>102</v>
      </c>
      <c r="B65" t="s">
        <v>15</v>
      </c>
      <c r="C65" t="s">
        <v>9</v>
      </c>
      <c r="D65">
        <v>0.96</v>
      </c>
      <c r="E65" t="s">
        <v>38</v>
      </c>
      <c r="F65" t="s">
        <v>34</v>
      </c>
      <c r="G65">
        <v>1</v>
      </c>
      <c r="H65">
        <v>100.3579</v>
      </c>
      <c r="I65" t="s">
        <v>51</v>
      </c>
      <c r="J65" s="1">
        <v>44788</v>
      </c>
      <c r="K65">
        <v>74.938832400096004</v>
      </c>
      <c r="L65" s="1">
        <v>44802</v>
      </c>
      <c r="M65" s="1">
        <v>44800</v>
      </c>
      <c r="N65">
        <v>749.38832400095998</v>
      </c>
      <c r="O65">
        <v>-2</v>
      </c>
      <c r="P65" t="str">
        <f>IF(Table1[[#This Row],[Delivery Delay]]&gt;0,"Late","On Time")</f>
        <v>On Time</v>
      </c>
      <c r="Q65">
        <v>74.938832400096004</v>
      </c>
      <c r="R65">
        <v>0.43861204093040496</v>
      </c>
      <c r="S65">
        <v>1.3344216449237324E-3</v>
      </c>
      <c r="T65">
        <v>0.96</v>
      </c>
      <c r="U65">
        <v>0</v>
      </c>
      <c r="V65">
        <v>37.612273467955809</v>
      </c>
    </row>
    <row r="66" spans="1:22" x14ac:dyDescent="0.35">
      <c r="A66" t="s">
        <v>99</v>
      </c>
      <c r="B66" t="s">
        <v>15</v>
      </c>
      <c r="C66" t="s">
        <v>11</v>
      </c>
      <c r="D66">
        <v>0.61</v>
      </c>
      <c r="E66" t="s">
        <v>38</v>
      </c>
      <c r="F66" t="s">
        <v>39</v>
      </c>
      <c r="G66">
        <v>0</v>
      </c>
      <c r="H66">
        <v>-86.535999999999802</v>
      </c>
      <c r="I66" t="s">
        <v>46</v>
      </c>
      <c r="J66" s="1">
        <v>44660</v>
      </c>
      <c r="K66">
        <v>27.4250907139524</v>
      </c>
      <c r="L66" s="1">
        <v>44684</v>
      </c>
      <c r="M66" s="1">
        <v>44689</v>
      </c>
      <c r="N66">
        <v>411.37636070928602</v>
      </c>
      <c r="O66">
        <v>5</v>
      </c>
      <c r="P66" t="str">
        <f>IF(Table1[[#This Row],[Delivery Delay]]&gt;0,"Late","On Time")</f>
        <v>Late</v>
      </c>
      <c r="Q66">
        <v>27.4250907139524</v>
      </c>
      <c r="R66">
        <v>0</v>
      </c>
      <c r="S66">
        <v>2.430864034763257E-3</v>
      </c>
      <c r="T66">
        <v>0.61</v>
      </c>
      <c r="U66">
        <v>1</v>
      </c>
      <c r="V66">
        <v>38.372925921042899</v>
      </c>
    </row>
    <row r="67" spans="1:22" x14ac:dyDescent="0.35">
      <c r="A67" t="s">
        <v>103</v>
      </c>
      <c r="B67" t="s">
        <v>8</v>
      </c>
      <c r="C67" t="s">
        <v>5</v>
      </c>
      <c r="D67">
        <v>0.87</v>
      </c>
      <c r="E67" t="s">
        <v>37</v>
      </c>
      <c r="F67" t="s">
        <v>34</v>
      </c>
      <c r="G67">
        <v>1</v>
      </c>
      <c r="H67">
        <v>334.89179999999999</v>
      </c>
      <c r="I67" t="s">
        <v>45</v>
      </c>
      <c r="J67" s="1">
        <v>44341</v>
      </c>
      <c r="K67">
        <v>17.905812008867098</v>
      </c>
      <c r="L67" s="1">
        <v>44362</v>
      </c>
      <c r="M67" s="1">
        <v>44366</v>
      </c>
      <c r="N67">
        <v>358.11624017734198</v>
      </c>
      <c r="O67">
        <v>4</v>
      </c>
      <c r="P67" t="str">
        <f>IF(Table1[[#This Row],[Delivery Delay]]&gt;0,"Late","On Time")</f>
        <v>Late</v>
      </c>
      <c r="Q67">
        <v>17.905812008867098</v>
      </c>
      <c r="R67">
        <v>0.59336758613431306</v>
      </c>
      <c r="S67">
        <v>2.7923894194376445E-3</v>
      </c>
      <c r="T67">
        <v>0.87</v>
      </c>
      <c r="U67">
        <v>0</v>
      </c>
      <c r="V67">
        <v>38.051123405269394</v>
      </c>
    </row>
    <row r="68" spans="1:22" x14ac:dyDescent="0.35">
      <c r="A68" t="s">
        <v>104</v>
      </c>
      <c r="B68" t="s">
        <v>13</v>
      </c>
      <c r="C68" t="s">
        <v>7</v>
      </c>
      <c r="D68">
        <v>0.72</v>
      </c>
      <c r="E68" t="s">
        <v>37</v>
      </c>
      <c r="F68" t="s">
        <v>34</v>
      </c>
      <c r="G68">
        <v>1</v>
      </c>
      <c r="H68">
        <v>958.56799999999998</v>
      </c>
      <c r="I68" t="s">
        <v>46</v>
      </c>
      <c r="J68" s="1">
        <v>44253</v>
      </c>
      <c r="K68">
        <v>54.933721898361902</v>
      </c>
      <c r="L68" s="1">
        <v>44271</v>
      </c>
      <c r="M68" s="1">
        <v>44272</v>
      </c>
      <c r="N68">
        <v>549.33721898361898</v>
      </c>
      <c r="O68">
        <v>1</v>
      </c>
      <c r="P68" t="str">
        <f>IF(Table1[[#This Row],[Delivery Delay]]&gt;0,"Late","On Time")</f>
        <v>Late</v>
      </c>
      <c r="Q68">
        <v>54.933721898361895</v>
      </c>
      <c r="R68">
        <v>0.43538262808016465</v>
      </c>
      <c r="S68">
        <v>1.8203754732843244E-3</v>
      </c>
      <c r="T68">
        <v>0.72</v>
      </c>
      <c r="U68">
        <v>0</v>
      </c>
      <c r="V68">
        <v>30.362263825801822</v>
      </c>
    </row>
    <row r="69" spans="1:22" x14ac:dyDescent="0.35">
      <c r="A69" t="s">
        <v>105</v>
      </c>
      <c r="B69" t="s">
        <v>13</v>
      </c>
      <c r="C69" t="s">
        <v>7</v>
      </c>
      <c r="D69">
        <v>0.96</v>
      </c>
      <c r="E69" t="s">
        <v>37</v>
      </c>
      <c r="F69" t="s">
        <v>34</v>
      </c>
      <c r="G69">
        <v>1</v>
      </c>
      <c r="H69">
        <v>625.22899999999902</v>
      </c>
      <c r="I69" t="s">
        <v>47</v>
      </c>
      <c r="J69" s="1">
        <v>44697</v>
      </c>
      <c r="K69">
        <v>32.209555444085296</v>
      </c>
      <c r="L69" s="1">
        <v>44714</v>
      </c>
      <c r="M69" s="1">
        <v>44719</v>
      </c>
      <c r="N69">
        <v>257.67644355268197</v>
      </c>
      <c r="O69">
        <v>5</v>
      </c>
      <c r="P69" t="str">
        <f>IF(Table1[[#This Row],[Delivery Delay]]&gt;0,"Late","On Time")</f>
        <v>Late</v>
      </c>
      <c r="Q69">
        <v>32.209555444085247</v>
      </c>
      <c r="R69">
        <v>0.63107974027206193</v>
      </c>
      <c r="S69">
        <v>3.880835928238624E-3</v>
      </c>
      <c r="T69">
        <v>0.96</v>
      </c>
      <c r="U69">
        <v>0</v>
      </c>
      <c r="V69">
        <v>41.538019883288399</v>
      </c>
    </row>
    <row r="70" spans="1:22" x14ac:dyDescent="0.35">
      <c r="A70" t="s">
        <v>106</v>
      </c>
      <c r="B70" t="s">
        <v>6</v>
      </c>
      <c r="C70" t="s">
        <v>9</v>
      </c>
      <c r="D70">
        <v>0.98</v>
      </c>
      <c r="E70" t="s">
        <v>38</v>
      </c>
      <c r="F70" t="s">
        <v>39</v>
      </c>
      <c r="G70">
        <v>0</v>
      </c>
      <c r="H70">
        <v>18.635099999999898</v>
      </c>
      <c r="I70" t="s">
        <v>47</v>
      </c>
      <c r="J70" s="1">
        <v>45241</v>
      </c>
      <c r="K70">
        <v>6.4570094852955204</v>
      </c>
      <c r="L70" s="1">
        <v>45253</v>
      </c>
      <c r="M70" s="1">
        <v>45250</v>
      </c>
      <c r="N70">
        <v>71.027104338250695</v>
      </c>
      <c r="O70">
        <v>-3</v>
      </c>
      <c r="P70" t="str">
        <f>IF(Table1[[#This Row],[Delivery Delay]]&gt;0,"Late","On Time")</f>
        <v>On Time</v>
      </c>
      <c r="Q70">
        <v>6.4570094852955178</v>
      </c>
      <c r="R70">
        <v>0.4301224925043427</v>
      </c>
      <c r="S70">
        <v>1.4079132315991987E-2</v>
      </c>
      <c r="T70">
        <v>0.98</v>
      </c>
      <c r="U70">
        <v>1</v>
      </c>
      <c r="V70">
        <v>58.424823819566619</v>
      </c>
    </row>
    <row r="71" spans="1:22" x14ac:dyDescent="0.35">
      <c r="A71" t="s">
        <v>108</v>
      </c>
      <c r="B71" t="s">
        <v>4</v>
      </c>
      <c r="C71" t="s">
        <v>9</v>
      </c>
      <c r="D71">
        <v>0.97</v>
      </c>
      <c r="E71" t="s">
        <v>35</v>
      </c>
      <c r="F71" t="s">
        <v>34</v>
      </c>
      <c r="G71">
        <v>1</v>
      </c>
      <c r="H71">
        <v>310.3236</v>
      </c>
      <c r="I71" t="s">
        <v>50</v>
      </c>
      <c r="J71" s="1">
        <v>44464</v>
      </c>
      <c r="K71">
        <v>26.040393574162</v>
      </c>
      <c r="L71" s="1">
        <v>44478</v>
      </c>
      <c r="M71" s="1">
        <v>44475</v>
      </c>
      <c r="N71">
        <v>234.36354216745801</v>
      </c>
      <c r="O71">
        <v>-3</v>
      </c>
      <c r="P71" t="str">
        <f>IF(Table1[[#This Row],[Delivery Delay]]&gt;0,"Late","On Time")</f>
        <v>On Time</v>
      </c>
      <c r="Q71">
        <v>26.040393574162</v>
      </c>
      <c r="R71">
        <v>0.42655953867444779</v>
      </c>
      <c r="S71">
        <v>4.2668752603400983E-3</v>
      </c>
      <c r="T71">
        <v>0.97</v>
      </c>
      <c r="U71">
        <v>0</v>
      </c>
      <c r="V71">
        <v>37.759197031299159</v>
      </c>
    </row>
    <row r="72" spans="1:22" x14ac:dyDescent="0.35">
      <c r="A72" t="s">
        <v>102</v>
      </c>
      <c r="B72" t="s">
        <v>12</v>
      </c>
      <c r="C72" t="s">
        <v>7</v>
      </c>
      <c r="D72">
        <v>0.78</v>
      </c>
      <c r="E72" t="s">
        <v>38</v>
      </c>
      <c r="F72" t="s">
        <v>34</v>
      </c>
      <c r="G72">
        <v>1</v>
      </c>
      <c r="H72">
        <v>631.67100000000005</v>
      </c>
      <c r="I72" t="s">
        <v>47</v>
      </c>
      <c r="J72" s="1">
        <v>45224</v>
      </c>
      <c r="K72">
        <v>75.799893827958599</v>
      </c>
      <c r="L72" s="1">
        <v>45235</v>
      </c>
      <c r="M72" s="1">
        <v>45241</v>
      </c>
      <c r="N72">
        <v>606.39915062366799</v>
      </c>
      <c r="O72">
        <v>6</v>
      </c>
      <c r="P72" t="str">
        <f>IF(Table1[[#This Row],[Delivery Delay]]&gt;0,"Late","On Time")</f>
        <v>Late</v>
      </c>
      <c r="Q72">
        <v>75.799893827958499</v>
      </c>
      <c r="R72">
        <v>0.45043073480555429</v>
      </c>
      <c r="S72">
        <v>1.6490788269929507E-3</v>
      </c>
      <c r="T72">
        <v>0.78</v>
      </c>
      <c r="U72">
        <v>0</v>
      </c>
      <c r="V72">
        <v>32.458087060920867</v>
      </c>
    </row>
    <row r="73" spans="1:22" x14ac:dyDescent="0.35">
      <c r="A73" t="s">
        <v>99</v>
      </c>
      <c r="B73" t="s">
        <v>8</v>
      </c>
      <c r="C73" t="s">
        <v>9</v>
      </c>
      <c r="D73">
        <v>0.94</v>
      </c>
      <c r="E73" t="s">
        <v>35</v>
      </c>
      <c r="F73" t="s">
        <v>34</v>
      </c>
      <c r="G73">
        <v>1</v>
      </c>
      <c r="H73">
        <v>82.6875</v>
      </c>
      <c r="I73" t="s">
        <v>50</v>
      </c>
      <c r="J73" s="1">
        <v>44396</v>
      </c>
      <c r="K73">
        <v>18.1608221162377</v>
      </c>
      <c r="L73" s="1">
        <v>44417</v>
      </c>
      <c r="M73" s="1">
        <v>44420</v>
      </c>
      <c r="N73">
        <v>199.76904327861499</v>
      </c>
      <c r="O73">
        <v>3</v>
      </c>
      <c r="P73" t="str">
        <f>IF(Table1[[#This Row],[Delivery Delay]]&gt;0,"Late","On Time")</f>
        <v>Late</v>
      </c>
      <c r="Q73">
        <v>18.160822116237725</v>
      </c>
      <c r="R73">
        <v>0.26271893244370309</v>
      </c>
      <c r="S73">
        <v>5.0057805933690861E-3</v>
      </c>
      <c r="T73">
        <v>0.94</v>
      </c>
      <c r="U73">
        <v>0</v>
      </c>
      <c r="V73">
        <v>33.604552066675133</v>
      </c>
    </row>
    <row r="74" spans="1:22" x14ac:dyDescent="0.35">
      <c r="A74" t="s">
        <v>103</v>
      </c>
      <c r="B74" t="s">
        <v>6</v>
      </c>
      <c r="C74" t="s">
        <v>11</v>
      </c>
      <c r="D74">
        <v>0.93</v>
      </c>
      <c r="E74" t="s">
        <v>38</v>
      </c>
      <c r="F74" t="s">
        <v>34</v>
      </c>
      <c r="G74">
        <v>1</v>
      </c>
      <c r="H74">
        <v>314.096</v>
      </c>
      <c r="I74" t="s">
        <v>47</v>
      </c>
      <c r="J74" s="1">
        <v>45193</v>
      </c>
      <c r="K74">
        <v>49.232652626469203</v>
      </c>
      <c r="L74" s="1">
        <v>45204</v>
      </c>
      <c r="M74" s="1">
        <v>45208</v>
      </c>
      <c r="N74">
        <v>640.02448414410003</v>
      </c>
      <c r="O74">
        <v>4</v>
      </c>
      <c r="P74" t="str">
        <f>IF(Table1[[#This Row],[Delivery Delay]]&gt;0,"Late","On Time")</f>
        <v>Late</v>
      </c>
      <c r="Q74">
        <v>49.232652626469232</v>
      </c>
      <c r="R74">
        <v>0.65995427956700059</v>
      </c>
      <c r="S74">
        <v>1.5624402265442901E-3</v>
      </c>
      <c r="T74">
        <v>0.93</v>
      </c>
      <c r="U74">
        <v>0</v>
      </c>
      <c r="V74">
        <v>41.145958798136341</v>
      </c>
    </row>
    <row r="75" spans="1:22" x14ac:dyDescent="0.35">
      <c r="A75" t="s">
        <v>104</v>
      </c>
      <c r="B75" t="s">
        <v>10</v>
      </c>
      <c r="C75" t="s">
        <v>7</v>
      </c>
      <c r="D75">
        <v>0.72</v>
      </c>
      <c r="E75" t="s">
        <v>36</v>
      </c>
      <c r="F75" t="s">
        <v>34</v>
      </c>
      <c r="G75">
        <v>1</v>
      </c>
      <c r="H75">
        <v>58.404999999999902</v>
      </c>
      <c r="I75" t="s">
        <v>45</v>
      </c>
      <c r="J75" s="1">
        <v>44627</v>
      </c>
      <c r="K75">
        <v>29.1416936652126</v>
      </c>
      <c r="L75" s="1">
        <v>44640</v>
      </c>
      <c r="M75" s="1">
        <v>44639</v>
      </c>
      <c r="N75">
        <v>87.425080995637899</v>
      </c>
      <c r="O75">
        <v>-1</v>
      </c>
      <c r="P75" t="str">
        <f>IF(Table1[[#This Row],[Delivery Delay]]&gt;0,"Late","On Time")</f>
        <v>On Time</v>
      </c>
      <c r="Q75">
        <v>29.141693665212632</v>
      </c>
      <c r="R75">
        <v>5.3651232540728643E-2</v>
      </c>
      <c r="S75">
        <v>1.1438365153472324E-2</v>
      </c>
      <c r="T75">
        <v>0.72</v>
      </c>
      <c r="U75">
        <v>0</v>
      </c>
      <c r="V75">
        <v>23.016175605418741</v>
      </c>
    </row>
    <row r="76" spans="1:22" x14ac:dyDescent="0.35">
      <c r="A76" t="s">
        <v>105</v>
      </c>
      <c r="B76" t="s">
        <v>4</v>
      </c>
      <c r="C76" t="s">
        <v>9</v>
      </c>
      <c r="D76">
        <v>0.92</v>
      </c>
      <c r="E76" t="s">
        <v>36</v>
      </c>
      <c r="F76" t="s">
        <v>34</v>
      </c>
      <c r="G76">
        <v>1</v>
      </c>
      <c r="H76">
        <v>142.40799999999899</v>
      </c>
      <c r="I76" t="s">
        <v>50</v>
      </c>
      <c r="J76" s="1">
        <v>44403</v>
      </c>
      <c r="K76">
        <v>52.342986247763399</v>
      </c>
      <c r="L76" s="1">
        <v>44414</v>
      </c>
      <c r="M76" s="1">
        <v>44417</v>
      </c>
      <c r="N76">
        <v>628.11583497316099</v>
      </c>
      <c r="O76">
        <v>3</v>
      </c>
      <c r="P76" t="str">
        <f>IF(Table1[[#This Row],[Delivery Delay]]&gt;0,"Late","On Time")</f>
        <v>Late</v>
      </c>
      <c r="Q76">
        <v>52.342986247763413</v>
      </c>
      <c r="R76">
        <v>8.565132246873601E-2</v>
      </c>
      <c r="S76">
        <v>1.5920630309260225E-3</v>
      </c>
      <c r="T76">
        <v>0.92</v>
      </c>
      <c r="U76">
        <v>0</v>
      </c>
      <c r="V76">
        <v>29.360788340302506</v>
      </c>
    </row>
    <row r="77" spans="1:22" x14ac:dyDescent="0.35">
      <c r="A77" t="s">
        <v>106</v>
      </c>
      <c r="B77" t="s">
        <v>4</v>
      </c>
      <c r="C77" t="s">
        <v>7</v>
      </c>
      <c r="D77">
        <v>0.61</v>
      </c>
      <c r="E77" t="s">
        <v>38</v>
      </c>
      <c r="F77" t="s">
        <v>34</v>
      </c>
      <c r="G77">
        <v>1</v>
      </c>
      <c r="H77">
        <v>259.003999999999</v>
      </c>
      <c r="I77" t="s">
        <v>49</v>
      </c>
      <c r="J77" s="1">
        <v>45114</v>
      </c>
      <c r="K77">
        <v>66.526076913742799</v>
      </c>
      <c r="L77" s="1">
        <v>45130</v>
      </c>
      <c r="M77" s="1">
        <v>45129</v>
      </c>
      <c r="N77">
        <v>731.78684605117098</v>
      </c>
      <c r="O77">
        <v>-1</v>
      </c>
      <c r="P77" t="str">
        <f>IF(Table1[[#This Row],[Delivery Delay]]&gt;0,"Late","On Time")</f>
        <v>On Time</v>
      </c>
      <c r="Q77">
        <v>66.526076913742813</v>
      </c>
      <c r="R77">
        <v>0.37163880136140959</v>
      </c>
      <c r="S77">
        <v>1.3665181403521346E-3</v>
      </c>
      <c r="T77">
        <v>0.61</v>
      </c>
      <c r="U77">
        <v>0</v>
      </c>
      <c r="V77">
        <v>25.773771571438758</v>
      </c>
    </row>
    <row r="78" spans="1:22" x14ac:dyDescent="0.35">
      <c r="A78" t="s">
        <v>108</v>
      </c>
      <c r="B78" t="s">
        <v>8</v>
      </c>
      <c r="C78" t="s">
        <v>5</v>
      </c>
      <c r="D78">
        <v>0.83</v>
      </c>
      <c r="E78" t="s">
        <v>38</v>
      </c>
      <c r="F78" t="s">
        <v>34</v>
      </c>
      <c r="G78">
        <v>1</v>
      </c>
      <c r="H78">
        <v>455.04160000000002</v>
      </c>
      <c r="I78" t="s">
        <v>48</v>
      </c>
      <c r="J78" s="1">
        <v>45286</v>
      </c>
      <c r="K78">
        <v>36.004037055706902</v>
      </c>
      <c r="L78" s="1">
        <v>45302</v>
      </c>
      <c r="M78" s="1">
        <v>45300</v>
      </c>
      <c r="N78">
        <v>396.04440761277601</v>
      </c>
      <c r="O78">
        <v>-2</v>
      </c>
      <c r="P78" t="str">
        <f>IF(Table1[[#This Row],[Delivery Delay]]&gt;0,"Late","On Time")</f>
        <v>On Time</v>
      </c>
      <c r="Q78">
        <v>36.00403705570691</v>
      </c>
      <c r="R78">
        <v>0.44996527178977647</v>
      </c>
      <c r="S78">
        <v>2.5249693740852634E-3</v>
      </c>
      <c r="T78">
        <v>0.83</v>
      </c>
      <c r="U78">
        <v>0</v>
      </c>
      <c r="V78">
        <v>33.975054517018087</v>
      </c>
    </row>
    <row r="79" spans="1:22" x14ac:dyDescent="0.35">
      <c r="A79" t="s">
        <v>107</v>
      </c>
      <c r="B79" t="s">
        <v>14</v>
      </c>
      <c r="C79" t="s">
        <v>9</v>
      </c>
      <c r="D79">
        <v>0.69</v>
      </c>
      <c r="E79" t="s">
        <v>35</v>
      </c>
      <c r="F79" t="s">
        <v>34</v>
      </c>
      <c r="G79">
        <v>1</v>
      </c>
      <c r="H79">
        <v>-80.774999999999906</v>
      </c>
      <c r="I79" t="s">
        <v>51</v>
      </c>
      <c r="J79" s="1">
        <v>45287</v>
      </c>
      <c r="K79">
        <v>38.560018844862697</v>
      </c>
      <c r="L79" s="1">
        <v>45309</v>
      </c>
      <c r="M79" s="1">
        <v>45311</v>
      </c>
      <c r="N79">
        <v>269.92013191403902</v>
      </c>
      <c r="O79">
        <v>2</v>
      </c>
      <c r="P79" t="str">
        <f>IF(Table1[[#This Row],[Delivery Delay]]&gt;0,"Late","On Time")</f>
        <v>Late</v>
      </c>
      <c r="Q79">
        <v>38.560018844862718</v>
      </c>
      <c r="R79">
        <v>0</v>
      </c>
      <c r="S79">
        <v>3.7047996120514203E-3</v>
      </c>
      <c r="T79">
        <v>0.69</v>
      </c>
      <c r="U79">
        <v>0</v>
      </c>
      <c r="V79">
        <v>20.81114398836154</v>
      </c>
    </row>
    <row r="80" spans="1:22" x14ac:dyDescent="0.35">
      <c r="A80" t="s">
        <v>100</v>
      </c>
      <c r="B80" t="s">
        <v>12</v>
      </c>
      <c r="C80" t="s">
        <v>7</v>
      </c>
      <c r="D80">
        <v>0.65</v>
      </c>
      <c r="E80" t="s">
        <v>35</v>
      </c>
      <c r="F80" t="s">
        <v>34</v>
      </c>
      <c r="G80">
        <v>1</v>
      </c>
      <c r="H80">
        <v>455.62920000000003</v>
      </c>
      <c r="I80" t="s">
        <v>47</v>
      </c>
      <c r="J80" s="1">
        <v>44730</v>
      </c>
      <c r="K80">
        <v>44.565917882768296</v>
      </c>
      <c r="L80" s="1">
        <v>44745</v>
      </c>
      <c r="M80" s="1">
        <v>44749</v>
      </c>
      <c r="N80">
        <v>311.96142517937801</v>
      </c>
      <c r="O80">
        <v>4</v>
      </c>
      <c r="P80" t="str">
        <f>IF(Table1[[#This Row],[Delivery Delay]]&gt;0,"Late","On Time")</f>
        <v>Late</v>
      </c>
      <c r="Q80">
        <v>44.565917882768289</v>
      </c>
      <c r="R80">
        <v>0.2990656045923451</v>
      </c>
      <c r="S80">
        <v>3.2055245273514164E-3</v>
      </c>
      <c r="T80">
        <v>0.65</v>
      </c>
      <c r="U80">
        <v>0</v>
      </c>
      <c r="V80">
        <v>25.577477827667444</v>
      </c>
    </row>
    <row r="81" spans="1:29" x14ac:dyDescent="0.35">
      <c r="A81" t="s">
        <v>101</v>
      </c>
      <c r="B81" t="s">
        <v>4</v>
      </c>
      <c r="C81" t="s">
        <v>9</v>
      </c>
      <c r="D81">
        <v>0.63</v>
      </c>
      <c r="E81" t="s">
        <v>38</v>
      </c>
      <c r="F81" t="s">
        <v>34</v>
      </c>
      <c r="G81">
        <v>1</v>
      </c>
      <c r="H81">
        <v>252.63759999999999</v>
      </c>
      <c r="I81" t="s">
        <v>46</v>
      </c>
      <c r="J81" s="1">
        <v>44969</v>
      </c>
      <c r="K81">
        <v>18.788863339445999</v>
      </c>
      <c r="L81" s="1">
        <v>44984</v>
      </c>
      <c r="M81" s="1">
        <v>44985</v>
      </c>
      <c r="N81">
        <v>225.46636007335201</v>
      </c>
      <c r="O81">
        <v>1</v>
      </c>
      <c r="P81" t="str">
        <f>IF(Table1[[#This Row],[Delivery Delay]]&gt;0,"Late","On Time")</f>
        <v>Late</v>
      </c>
      <c r="Q81">
        <v>18.788863339445999</v>
      </c>
      <c r="R81">
        <v>0.29148779256357549</v>
      </c>
      <c r="S81">
        <v>4.4352514480415859E-3</v>
      </c>
      <c r="T81">
        <v>0.63</v>
      </c>
      <c r="U81">
        <v>0</v>
      </c>
      <c r="V81">
        <v>24.862813394712756</v>
      </c>
    </row>
    <row r="82" spans="1:29" x14ac:dyDescent="0.35">
      <c r="A82" t="s">
        <v>102</v>
      </c>
      <c r="B82" t="s">
        <v>8</v>
      </c>
      <c r="C82" t="s">
        <v>9</v>
      </c>
      <c r="D82">
        <v>0.87</v>
      </c>
      <c r="E82" t="s">
        <v>35</v>
      </c>
      <c r="F82" t="s">
        <v>34</v>
      </c>
      <c r="G82">
        <v>1</v>
      </c>
      <c r="H82">
        <v>641.65499999999895</v>
      </c>
      <c r="I82" t="s">
        <v>47</v>
      </c>
      <c r="J82" s="1">
        <v>44483</v>
      </c>
      <c r="K82">
        <v>73.116428720631106</v>
      </c>
      <c r="L82" s="1">
        <v>44501</v>
      </c>
      <c r="M82" s="1">
        <v>44506</v>
      </c>
      <c r="N82">
        <v>877.39714464757401</v>
      </c>
      <c r="O82">
        <v>5</v>
      </c>
      <c r="P82" t="str">
        <f>IF(Table1[[#This Row],[Delivery Delay]]&gt;0,"Late","On Time")</f>
        <v>Late</v>
      </c>
      <c r="Q82">
        <v>73.116428720631163</v>
      </c>
      <c r="R82">
        <v>0.40764458675205312</v>
      </c>
      <c r="S82">
        <v>1.1397347325556571E-3</v>
      </c>
      <c r="T82">
        <v>0.87</v>
      </c>
      <c r="U82">
        <v>0</v>
      </c>
      <c r="V82">
        <v>34.287083777017735</v>
      </c>
    </row>
    <row r="83" spans="1:29" x14ac:dyDescent="0.35">
      <c r="A83" t="s">
        <v>99</v>
      </c>
      <c r="B83" t="s">
        <v>8</v>
      </c>
      <c r="C83" t="s">
        <v>9</v>
      </c>
      <c r="D83">
        <v>0.73</v>
      </c>
      <c r="E83" t="s">
        <v>35</v>
      </c>
      <c r="F83" t="s">
        <v>39</v>
      </c>
      <c r="G83">
        <v>0</v>
      </c>
      <c r="H83">
        <v>579.90899999999999</v>
      </c>
      <c r="I83" t="s">
        <v>46</v>
      </c>
      <c r="J83" s="1">
        <v>44804</v>
      </c>
      <c r="K83">
        <v>45.982751390479002</v>
      </c>
      <c r="L83" s="1">
        <v>44825</v>
      </c>
      <c r="M83" s="1">
        <v>44822</v>
      </c>
      <c r="N83">
        <v>551.79301668574794</v>
      </c>
      <c r="O83">
        <v>-3</v>
      </c>
      <c r="P83" t="str">
        <f>IF(Table1[[#This Row],[Delivery Delay]]&gt;0,"Late","On Time")</f>
        <v>On Time</v>
      </c>
      <c r="Q83">
        <v>45.982751390478995</v>
      </c>
      <c r="R83">
        <v>0.83355109679478068</v>
      </c>
      <c r="S83">
        <v>1.8122737507740348E-3</v>
      </c>
      <c r="T83">
        <v>0.73</v>
      </c>
      <c r="U83">
        <v>1</v>
      </c>
      <c r="V83">
        <v>58.62539014841883</v>
      </c>
    </row>
    <row r="84" spans="1:29" x14ac:dyDescent="0.35">
      <c r="A84" t="s">
        <v>103</v>
      </c>
      <c r="B84" t="s">
        <v>6</v>
      </c>
      <c r="C84" t="s">
        <v>7</v>
      </c>
      <c r="D84">
        <v>0.88</v>
      </c>
      <c r="E84" t="s">
        <v>35</v>
      </c>
      <c r="F84" t="s">
        <v>39</v>
      </c>
      <c r="G84">
        <v>0</v>
      </c>
      <c r="H84">
        <v>227.25649999999999</v>
      </c>
      <c r="I84" t="s">
        <v>48</v>
      </c>
      <c r="J84" s="1">
        <v>45006</v>
      </c>
      <c r="K84">
        <v>31.953227687396399</v>
      </c>
      <c r="L84" s="1">
        <v>45030</v>
      </c>
      <c r="M84" s="1">
        <v>45032</v>
      </c>
      <c r="N84">
        <v>319.53227687396401</v>
      </c>
      <c r="O84">
        <v>2</v>
      </c>
      <c r="P84" t="str">
        <f>IF(Table1[[#This Row],[Delivery Delay]]&gt;0,"Late","On Time")</f>
        <v>Late</v>
      </c>
      <c r="Q84">
        <v>31.953227687396399</v>
      </c>
      <c r="R84">
        <v>0.26122742918755132</v>
      </c>
      <c r="S84">
        <v>3.1295742946007266E-3</v>
      </c>
      <c r="T84">
        <v>0.88</v>
      </c>
      <c r="U84">
        <v>1</v>
      </c>
      <c r="V84">
        <v>51.718435812589057</v>
      </c>
    </row>
    <row r="85" spans="1:29" x14ac:dyDescent="0.35">
      <c r="A85" t="s">
        <v>104</v>
      </c>
      <c r="B85" t="s">
        <v>10</v>
      </c>
      <c r="C85" t="s">
        <v>5</v>
      </c>
      <c r="D85">
        <v>0.63</v>
      </c>
      <c r="E85" t="s">
        <v>36</v>
      </c>
      <c r="F85" t="s">
        <v>34</v>
      </c>
      <c r="G85">
        <v>1</v>
      </c>
      <c r="H85">
        <v>79.193599999999904</v>
      </c>
      <c r="I85" t="s">
        <v>48</v>
      </c>
      <c r="J85" s="1">
        <v>45328</v>
      </c>
      <c r="K85">
        <v>46.812741421208401</v>
      </c>
      <c r="L85" s="1">
        <v>45339</v>
      </c>
      <c r="M85" s="1">
        <v>45341</v>
      </c>
      <c r="N85">
        <v>468.12741421208398</v>
      </c>
      <c r="O85">
        <v>2</v>
      </c>
      <c r="P85" t="str">
        <f>IF(Table1[[#This Row],[Delivery Delay]]&gt;0,"Late","On Time")</f>
        <v>Late</v>
      </c>
      <c r="Q85">
        <v>46.812741421208401</v>
      </c>
      <c r="R85">
        <v>9.3178412488045731E-2</v>
      </c>
      <c r="S85">
        <v>2.1361705587849902E-3</v>
      </c>
      <c r="T85">
        <v>0.63</v>
      </c>
      <c r="U85">
        <v>0</v>
      </c>
      <c r="V85">
        <v>20.827653366524462</v>
      </c>
    </row>
    <row r="86" spans="1:29" x14ac:dyDescent="0.35">
      <c r="A86" t="s">
        <v>105</v>
      </c>
      <c r="B86" t="s">
        <v>14</v>
      </c>
      <c r="C86" t="s">
        <v>9</v>
      </c>
      <c r="D86">
        <v>0.72</v>
      </c>
      <c r="E86" t="s">
        <v>35</v>
      </c>
      <c r="F86" t="s">
        <v>39</v>
      </c>
      <c r="G86">
        <v>0</v>
      </c>
      <c r="H86">
        <v>481.89749999999901</v>
      </c>
      <c r="I86" t="s">
        <v>48</v>
      </c>
      <c r="J86" s="1">
        <v>44667</v>
      </c>
      <c r="K86">
        <v>71.103499984905795</v>
      </c>
      <c r="L86" s="1">
        <v>44677</v>
      </c>
      <c r="M86" s="1">
        <v>44677</v>
      </c>
      <c r="N86">
        <v>1137.65599975849</v>
      </c>
      <c r="O86">
        <v>0</v>
      </c>
      <c r="P86" t="str">
        <f>IF(Table1[[#This Row],[Delivery Delay]]&gt;0,"Late","On Time")</f>
        <v>On Time</v>
      </c>
      <c r="Q86">
        <v>71.103499984905625</v>
      </c>
      <c r="R86">
        <v>0.66217678521739898</v>
      </c>
      <c r="S86">
        <v>8.7900033069072492E-4</v>
      </c>
      <c r="T86">
        <v>0.72</v>
      </c>
      <c r="U86">
        <v>1</v>
      </c>
      <c r="V86">
        <v>54.869905714268711</v>
      </c>
    </row>
    <row r="87" spans="1:29" x14ac:dyDescent="0.35">
      <c r="A87" t="s">
        <v>106</v>
      </c>
      <c r="B87" t="s">
        <v>12</v>
      </c>
      <c r="C87" t="s">
        <v>7</v>
      </c>
      <c r="D87">
        <v>0.81</v>
      </c>
      <c r="E87" t="s">
        <v>38</v>
      </c>
      <c r="F87" t="s">
        <v>34</v>
      </c>
      <c r="G87">
        <v>1</v>
      </c>
      <c r="H87">
        <v>349.41359999999997</v>
      </c>
      <c r="I87" t="s">
        <v>46</v>
      </c>
      <c r="J87" s="1">
        <v>45265</v>
      </c>
      <c r="K87">
        <v>39.617637272387199</v>
      </c>
      <c r="L87" s="1">
        <v>45287</v>
      </c>
      <c r="M87" s="1">
        <v>45284</v>
      </c>
      <c r="N87">
        <v>594.26455908580795</v>
      </c>
      <c r="O87">
        <v>-3</v>
      </c>
      <c r="P87" t="str">
        <f>IF(Table1[[#This Row],[Delivery Delay]]&gt;0,"Late","On Time")</f>
        <v>On Time</v>
      </c>
      <c r="Q87">
        <v>39.617637272387199</v>
      </c>
      <c r="R87">
        <v>0.24853488201383089</v>
      </c>
      <c r="S87">
        <v>1.6827522097874366E-3</v>
      </c>
      <c r="T87">
        <v>0.81</v>
      </c>
      <c r="U87">
        <v>0</v>
      </c>
      <c r="V87">
        <v>29.32118020657024</v>
      </c>
    </row>
    <row r="88" spans="1:29" x14ac:dyDescent="0.35">
      <c r="A88" t="s">
        <v>108</v>
      </c>
      <c r="B88" t="s">
        <v>13</v>
      </c>
      <c r="C88" t="s">
        <v>9</v>
      </c>
      <c r="D88">
        <v>0.91</v>
      </c>
      <c r="E88" t="s">
        <v>38</v>
      </c>
      <c r="F88" t="s">
        <v>34</v>
      </c>
      <c r="G88">
        <v>1</v>
      </c>
      <c r="H88">
        <v>-80.107500000000002</v>
      </c>
      <c r="I88" t="s">
        <v>47</v>
      </c>
      <c r="J88" s="1">
        <v>44618</v>
      </c>
      <c r="K88">
        <v>19.449254837386299</v>
      </c>
      <c r="L88" s="1">
        <v>44637</v>
      </c>
      <c r="M88" s="1">
        <v>44636</v>
      </c>
      <c r="N88">
        <v>175.04329353647699</v>
      </c>
      <c r="O88">
        <v>-1</v>
      </c>
      <c r="P88" t="str">
        <f>IF(Table1[[#This Row],[Delivery Delay]]&gt;0,"Late","On Time")</f>
        <v>On Time</v>
      </c>
      <c r="Q88">
        <v>19.449254837386334</v>
      </c>
      <c r="R88">
        <v>0</v>
      </c>
      <c r="S88">
        <v>5.7128723974312762E-3</v>
      </c>
      <c r="T88">
        <v>0.91</v>
      </c>
      <c r="U88">
        <v>0</v>
      </c>
      <c r="V88">
        <v>27.471386171922941</v>
      </c>
    </row>
    <row r="89" spans="1:29" x14ac:dyDescent="0.35">
      <c r="A89" t="s">
        <v>102</v>
      </c>
      <c r="B89" t="s">
        <v>15</v>
      </c>
      <c r="C89" t="s">
        <v>11</v>
      </c>
      <c r="D89">
        <v>0.72</v>
      </c>
      <c r="E89" t="s">
        <v>36</v>
      </c>
      <c r="F89" t="s">
        <v>34</v>
      </c>
      <c r="G89">
        <v>1</v>
      </c>
      <c r="H89">
        <v>462.43200000000002</v>
      </c>
      <c r="I89" t="s">
        <v>48</v>
      </c>
      <c r="J89" s="1">
        <v>44982</v>
      </c>
      <c r="K89">
        <v>75.334705625846695</v>
      </c>
      <c r="L89" s="1">
        <v>44996</v>
      </c>
      <c r="M89" s="1">
        <v>44996</v>
      </c>
      <c r="N89">
        <v>602.67764500677299</v>
      </c>
      <c r="O89">
        <v>0</v>
      </c>
      <c r="P89" t="str">
        <f>IF(Table1[[#This Row],[Delivery Delay]]&gt;0,"Late","On Time")</f>
        <v>On Time</v>
      </c>
      <c r="Q89">
        <v>75.334705625846624</v>
      </c>
      <c r="R89">
        <v>0.32151915632091849</v>
      </c>
      <c r="S89">
        <v>1.6592618098332846E-3</v>
      </c>
      <c r="T89">
        <v>0.72</v>
      </c>
      <c r="U89">
        <v>0</v>
      </c>
      <c r="V89">
        <v>28.080160980713369</v>
      </c>
      <c r="AC89" t="s">
        <v>16</v>
      </c>
    </row>
    <row r="90" spans="1:29" x14ac:dyDescent="0.35">
      <c r="A90" t="s">
        <v>99</v>
      </c>
      <c r="B90" t="s">
        <v>10</v>
      </c>
      <c r="C90" t="s">
        <v>9</v>
      </c>
      <c r="D90">
        <v>0.84</v>
      </c>
      <c r="E90" t="s">
        <v>37</v>
      </c>
      <c r="F90" t="s">
        <v>34</v>
      </c>
      <c r="G90">
        <v>1</v>
      </c>
      <c r="H90">
        <v>42.712400000000002</v>
      </c>
      <c r="I90" t="s">
        <v>45</v>
      </c>
      <c r="J90" s="1">
        <v>45002</v>
      </c>
      <c r="K90">
        <v>79.133585694662699</v>
      </c>
      <c r="L90" s="1">
        <v>45022</v>
      </c>
      <c r="M90" s="1">
        <v>45022</v>
      </c>
      <c r="N90">
        <v>1028.7366140306101</v>
      </c>
      <c r="O90">
        <v>0</v>
      </c>
      <c r="P90" t="str">
        <f>IF(Table1[[#This Row],[Delivery Delay]]&gt;0,"Late","On Time")</f>
        <v>On Time</v>
      </c>
      <c r="Q90">
        <v>79.133585694662315</v>
      </c>
      <c r="R90">
        <v>0.11665197333132325</v>
      </c>
      <c r="S90">
        <v>9.7206611134601352E-4</v>
      </c>
      <c r="T90">
        <v>0.84</v>
      </c>
      <c r="U90">
        <v>0</v>
      </c>
      <c r="V90">
        <v>27.562201449966846</v>
      </c>
      <c r="AC90" t="s">
        <v>17</v>
      </c>
    </row>
    <row r="91" spans="1:29" x14ac:dyDescent="0.35">
      <c r="A91" t="s">
        <v>103</v>
      </c>
      <c r="B91" t="s">
        <v>10</v>
      </c>
      <c r="C91" t="s">
        <v>11</v>
      </c>
      <c r="D91">
        <v>0.95</v>
      </c>
      <c r="E91" t="s">
        <v>35</v>
      </c>
      <c r="F91" t="s">
        <v>34</v>
      </c>
      <c r="G91">
        <v>1</v>
      </c>
      <c r="H91">
        <v>10.065</v>
      </c>
      <c r="I91" t="s">
        <v>50</v>
      </c>
      <c r="J91" s="1">
        <v>45191</v>
      </c>
      <c r="K91">
        <v>67.895754189368105</v>
      </c>
      <c r="L91" s="1">
        <v>45205</v>
      </c>
      <c r="M91" s="1">
        <v>45205</v>
      </c>
      <c r="N91">
        <v>882.64480446178595</v>
      </c>
      <c r="O91">
        <v>0</v>
      </c>
      <c r="P91" t="str">
        <f>IF(Table1[[#This Row],[Delivery Delay]]&gt;0,"Late","On Time")</f>
        <v>On Time</v>
      </c>
      <c r="Q91">
        <v>67.895754189368148</v>
      </c>
      <c r="R91">
        <v>1.3442134715164304E-2</v>
      </c>
      <c r="S91">
        <v>1.1329585751198913E-3</v>
      </c>
      <c r="T91">
        <v>0.95</v>
      </c>
      <c r="U91">
        <v>0</v>
      </c>
      <c r="V91">
        <v>28.802831451556877</v>
      </c>
      <c r="AC91" t="s">
        <v>18</v>
      </c>
    </row>
    <row r="92" spans="1:29" x14ac:dyDescent="0.35">
      <c r="A92" t="s">
        <v>104</v>
      </c>
      <c r="B92" t="s">
        <v>6</v>
      </c>
      <c r="C92" t="s">
        <v>7</v>
      </c>
      <c r="D92">
        <v>0.84</v>
      </c>
      <c r="E92" t="s">
        <v>37</v>
      </c>
      <c r="F92" t="s">
        <v>39</v>
      </c>
      <c r="G92">
        <v>0</v>
      </c>
      <c r="H92">
        <v>470.83620000000002</v>
      </c>
      <c r="I92" t="s">
        <v>46</v>
      </c>
      <c r="J92" s="1">
        <v>44749</v>
      </c>
      <c r="K92">
        <v>46.646231971667298</v>
      </c>
      <c r="L92" s="1">
        <v>44772</v>
      </c>
      <c r="M92" s="1">
        <v>44774</v>
      </c>
      <c r="N92">
        <v>606.40101563167502</v>
      </c>
      <c r="O92">
        <v>2</v>
      </c>
      <c r="P92" t="str">
        <f>IF(Table1[[#This Row],[Delivery Delay]]&gt;0,"Late","On Time")</f>
        <v>Late</v>
      </c>
      <c r="Q92">
        <v>46.646231971667312</v>
      </c>
      <c r="R92">
        <v>0.46792746926555151</v>
      </c>
      <c r="S92">
        <v>1.6490737551920511E-3</v>
      </c>
      <c r="T92">
        <v>0.84</v>
      </c>
      <c r="U92">
        <v>1</v>
      </c>
      <c r="V92">
        <v>54.608021597966797</v>
      </c>
      <c r="AC92" t="s">
        <v>19</v>
      </c>
    </row>
    <row r="93" spans="1:29" x14ac:dyDescent="0.35">
      <c r="A93" t="s">
        <v>105</v>
      </c>
      <c r="B93" t="s">
        <v>13</v>
      </c>
      <c r="C93" t="s">
        <v>5</v>
      </c>
      <c r="D93">
        <v>0.69</v>
      </c>
      <c r="E93" t="s">
        <v>36</v>
      </c>
      <c r="F93" t="s">
        <v>34</v>
      </c>
      <c r="G93">
        <v>1</v>
      </c>
      <c r="H93">
        <v>69.583500000000001</v>
      </c>
      <c r="I93" t="s">
        <v>46</v>
      </c>
      <c r="J93" s="1">
        <v>45386</v>
      </c>
      <c r="K93">
        <v>41.161397781506103</v>
      </c>
      <c r="L93" s="1">
        <v>45409</v>
      </c>
      <c r="M93" s="1">
        <v>45413</v>
      </c>
      <c r="N93">
        <v>370.45258003355502</v>
      </c>
      <c r="O93">
        <v>4</v>
      </c>
      <c r="P93" t="str">
        <f>IF(Table1[[#This Row],[Delivery Delay]]&gt;0,"Late","On Time")</f>
        <v>Late</v>
      </c>
      <c r="Q93">
        <v>41.161397781506111</v>
      </c>
      <c r="R93">
        <v>0.57137050585670468</v>
      </c>
      <c r="S93">
        <v>2.6994008245520154E-3</v>
      </c>
      <c r="T93">
        <v>0.69</v>
      </c>
      <c r="U93">
        <v>0</v>
      </c>
      <c r="V93">
        <v>32.208392141870654</v>
      </c>
      <c r="AC93" t="s">
        <v>20</v>
      </c>
    </row>
    <row r="94" spans="1:29" x14ac:dyDescent="0.35">
      <c r="A94" t="s">
        <v>106</v>
      </c>
      <c r="B94" t="s">
        <v>4</v>
      </c>
      <c r="C94" t="s">
        <v>9</v>
      </c>
      <c r="D94">
        <v>0.61</v>
      </c>
      <c r="E94" t="s">
        <v>35</v>
      </c>
      <c r="F94" t="s">
        <v>34</v>
      </c>
      <c r="G94">
        <v>1</v>
      </c>
      <c r="H94">
        <v>84.951999999999998</v>
      </c>
      <c r="I94" t="s">
        <v>47</v>
      </c>
      <c r="J94" s="1">
        <v>44273</v>
      </c>
      <c r="K94">
        <v>37.949678856455797</v>
      </c>
      <c r="L94" s="1">
        <v>44295</v>
      </c>
      <c r="M94" s="1">
        <v>44301</v>
      </c>
      <c r="N94">
        <v>379.49678856455802</v>
      </c>
      <c r="O94">
        <v>6</v>
      </c>
      <c r="P94" t="str">
        <f>IF(Table1[[#This Row],[Delivery Delay]]&gt;0,"Late","On Time")</f>
        <v>Late</v>
      </c>
      <c r="Q94">
        <v>37.949678856455805</v>
      </c>
      <c r="R94">
        <v>0.16376541710522766</v>
      </c>
      <c r="S94">
        <v>2.635068411994968E-3</v>
      </c>
      <c r="T94">
        <v>0.61</v>
      </c>
      <c r="U94">
        <v>0</v>
      </c>
      <c r="V94">
        <v>21.654360394464401</v>
      </c>
      <c r="AC94" t="s">
        <v>21</v>
      </c>
    </row>
    <row r="95" spans="1:29" x14ac:dyDescent="0.35">
      <c r="A95" t="s">
        <v>108</v>
      </c>
      <c r="B95" t="s">
        <v>4</v>
      </c>
      <c r="C95" t="s">
        <v>9</v>
      </c>
      <c r="D95">
        <v>0.94</v>
      </c>
      <c r="E95" t="s">
        <v>37</v>
      </c>
      <c r="F95" t="s">
        <v>39</v>
      </c>
      <c r="G95">
        <v>0</v>
      </c>
      <c r="H95">
        <v>667.897999999999</v>
      </c>
      <c r="I95" t="s">
        <v>46</v>
      </c>
      <c r="J95" s="1">
        <v>44934</v>
      </c>
      <c r="K95">
        <v>23.473933298333002</v>
      </c>
      <c r="L95" s="1">
        <v>44946</v>
      </c>
      <c r="M95" s="1">
        <v>44947</v>
      </c>
      <c r="N95">
        <v>305.161132878329</v>
      </c>
      <c r="O95">
        <v>1</v>
      </c>
      <c r="P95" t="str">
        <f>IF(Table1[[#This Row],[Delivery Delay]]&gt;0,"Late","On Time")</f>
        <v>Late</v>
      </c>
      <c r="Q95">
        <v>23.473933298333002</v>
      </c>
      <c r="R95">
        <v>0.47806437389770651</v>
      </c>
      <c r="S95">
        <v>3.2769572932432084E-3</v>
      </c>
      <c r="T95">
        <v>0.94</v>
      </c>
      <c r="U95">
        <v>1</v>
      </c>
      <c r="V95">
        <v>57.859596196751426</v>
      </c>
      <c r="AC95" t="s">
        <v>22</v>
      </c>
    </row>
    <row r="96" spans="1:29" x14ac:dyDescent="0.35">
      <c r="A96" t="s">
        <v>107</v>
      </c>
      <c r="B96" t="s">
        <v>6</v>
      </c>
      <c r="C96" t="s">
        <v>9</v>
      </c>
      <c r="D96">
        <v>0.61</v>
      </c>
      <c r="E96" t="s">
        <v>38</v>
      </c>
      <c r="F96" t="s">
        <v>34</v>
      </c>
      <c r="G96">
        <v>1</v>
      </c>
      <c r="H96">
        <v>-85.313999999999893</v>
      </c>
      <c r="I96" t="s">
        <v>46</v>
      </c>
      <c r="J96" s="1">
        <v>45153</v>
      </c>
      <c r="K96">
        <v>54.933383324469702</v>
      </c>
      <c r="L96" s="1">
        <v>45173</v>
      </c>
      <c r="M96" s="1">
        <v>45178</v>
      </c>
      <c r="N96">
        <v>274.66691662234803</v>
      </c>
      <c r="O96">
        <v>5</v>
      </c>
      <c r="P96" t="str">
        <f>IF(Table1[[#This Row],[Delivery Delay]]&gt;0,"Late","On Time")</f>
        <v>Late</v>
      </c>
      <c r="Q96">
        <v>54.933383324469602</v>
      </c>
      <c r="R96">
        <v>0</v>
      </c>
      <c r="S96">
        <v>3.6407733858058533E-3</v>
      </c>
      <c r="T96">
        <v>0.61</v>
      </c>
      <c r="U96">
        <v>0</v>
      </c>
      <c r="V96">
        <v>18.409223201574175</v>
      </c>
      <c r="AC96" t="s">
        <v>23</v>
      </c>
    </row>
    <row r="97" spans="1:29" x14ac:dyDescent="0.35">
      <c r="A97" t="s">
        <v>100</v>
      </c>
      <c r="B97" t="s">
        <v>8</v>
      </c>
      <c r="C97" t="s">
        <v>7</v>
      </c>
      <c r="D97">
        <v>0.94</v>
      </c>
      <c r="E97" t="s">
        <v>36</v>
      </c>
      <c r="F97" t="s">
        <v>34</v>
      </c>
      <c r="G97">
        <v>1</v>
      </c>
      <c r="H97">
        <v>179.643599999999</v>
      </c>
      <c r="I97" t="s">
        <v>48</v>
      </c>
      <c r="J97" s="1">
        <v>44836</v>
      </c>
      <c r="K97">
        <v>69.916030437220002</v>
      </c>
      <c r="L97" s="1">
        <v>44854</v>
      </c>
      <c r="M97" s="1">
        <v>44851</v>
      </c>
      <c r="N97">
        <v>769.07633480942002</v>
      </c>
      <c r="O97">
        <v>-3</v>
      </c>
      <c r="P97" t="str">
        <f>IF(Table1[[#This Row],[Delivery Delay]]&gt;0,"Late","On Time")</f>
        <v>On Time</v>
      </c>
      <c r="Q97">
        <v>69.916030437220002</v>
      </c>
      <c r="R97">
        <v>0.33046801014562693</v>
      </c>
      <c r="S97">
        <v>1.3002610465810312E-3</v>
      </c>
      <c r="T97">
        <v>0.94</v>
      </c>
      <c r="U97">
        <v>0</v>
      </c>
      <c r="V97">
        <v>34.848368034309971</v>
      </c>
      <c r="AC97" t="s">
        <v>24</v>
      </c>
    </row>
    <row r="98" spans="1:29" x14ac:dyDescent="0.35">
      <c r="A98" t="s">
        <v>101</v>
      </c>
      <c r="B98" t="s">
        <v>4</v>
      </c>
      <c r="C98" t="s">
        <v>9</v>
      </c>
      <c r="D98">
        <v>0.81</v>
      </c>
      <c r="E98" t="s">
        <v>38</v>
      </c>
      <c r="F98" t="s">
        <v>34</v>
      </c>
      <c r="G98">
        <v>1</v>
      </c>
      <c r="H98">
        <v>544.875</v>
      </c>
      <c r="I98" t="s">
        <v>47</v>
      </c>
      <c r="J98" s="1">
        <v>44532</v>
      </c>
      <c r="K98">
        <v>9.0338681482347205</v>
      </c>
      <c r="L98" s="1">
        <v>44555</v>
      </c>
      <c r="M98" s="1">
        <v>44552</v>
      </c>
      <c r="N98">
        <v>135.50802222351999</v>
      </c>
      <c r="O98">
        <v>-3</v>
      </c>
      <c r="P98" t="str">
        <f>IF(Table1[[#This Row],[Delivery Delay]]&gt;0,"Late","On Time")</f>
        <v>On Time</v>
      </c>
      <c r="Q98">
        <v>9.0338681482346654</v>
      </c>
      <c r="R98">
        <v>0.50178427535397718</v>
      </c>
      <c r="S98">
        <v>7.3796368922756737E-3</v>
      </c>
      <c r="T98">
        <v>0.81</v>
      </c>
      <c r="U98">
        <v>0</v>
      </c>
      <c r="V98">
        <v>34.557074613847817</v>
      </c>
      <c r="AC98" t="s">
        <v>25</v>
      </c>
    </row>
    <row r="99" spans="1:29" x14ac:dyDescent="0.35">
      <c r="A99" t="s">
        <v>102</v>
      </c>
      <c r="B99" t="s">
        <v>14</v>
      </c>
      <c r="C99" t="s">
        <v>9</v>
      </c>
      <c r="D99">
        <v>0.97</v>
      </c>
      <c r="E99" t="s">
        <v>36</v>
      </c>
      <c r="F99" t="s">
        <v>34</v>
      </c>
      <c r="G99">
        <v>1</v>
      </c>
      <c r="H99">
        <v>396.87</v>
      </c>
      <c r="I99" t="s">
        <v>48</v>
      </c>
      <c r="J99" s="1">
        <v>44411</v>
      </c>
      <c r="K99">
        <v>26.0202472167853</v>
      </c>
      <c r="L99" s="1">
        <v>44426</v>
      </c>
      <c r="M99" s="1">
        <v>44432</v>
      </c>
      <c r="N99">
        <v>182.141730517497</v>
      </c>
      <c r="O99">
        <v>6</v>
      </c>
      <c r="P99" t="str">
        <f>IF(Table1[[#This Row],[Delivery Delay]]&gt;0,"Late","On Time")</f>
        <v>Late</v>
      </c>
      <c r="Q99">
        <v>26.020247216785286</v>
      </c>
      <c r="R99">
        <v>0.37166376355565545</v>
      </c>
      <c r="S99">
        <v>5.4902300376680428E-3</v>
      </c>
      <c r="T99">
        <v>0.97</v>
      </c>
      <c r="U99">
        <v>0</v>
      </c>
      <c r="V99">
        <v>36.697982172243151</v>
      </c>
      <c r="AC99" t="s">
        <v>26</v>
      </c>
    </row>
    <row r="100" spans="1:29" x14ac:dyDescent="0.35">
      <c r="A100" t="s">
        <v>99</v>
      </c>
      <c r="B100" t="s">
        <v>12</v>
      </c>
      <c r="C100" t="s">
        <v>7</v>
      </c>
      <c r="D100">
        <v>0.91</v>
      </c>
      <c r="E100" t="s">
        <v>36</v>
      </c>
      <c r="F100" t="s">
        <v>39</v>
      </c>
      <c r="G100">
        <v>0</v>
      </c>
      <c r="H100">
        <v>155.30059999999901</v>
      </c>
      <c r="I100" t="s">
        <v>50</v>
      </c>
      <c r="J100" s="1">
        <v>44375</v>
      </c>
      <c r="K100">
        <v>40.5625854437559</v>
      </c>
      <c r="L100" s="1">
        <v>44391</v>
      </c>
      <c r="M100" s="1">
        <v>44393</v>
      </c>
      <c r="N100">
        <v>486.751025325071</v>
      </c>
      <c r="O100">
        <v>2</v>
      </c>
      <c r="P100" t="str">
        <f>IF(Table1[[#This Row],[Delivery Delay]]&gt;0,"Late","On Time")</f>
        <v>Late</v>
      </c>
      <c r="Q100">
        <v>40.562585443755914</v>
      </c>
      <c r="R100">
        <v>0.178707616367206</v>
      </c>
      <c r="S100">
        <v>2.0544384047925975E-3</v>
      </c>
      <c r="T100">
        <v>0.91</v>
      </c>
      <c r="U100">
        <v>1</v>
      </c>
      <c r="V100">
        <v>50.93578547948789</v>
      </c>
      <c r="AC100" t="s">
        <v>27</v>
      </c>
    </row>
    <row r="101" spans="1:29" x14ac:dyDescent="0.35">
      <c r="A101" t="s">
        <v>103</v>
      </c>
      <c r="B101" t="s">
        <v>10</v>
      </c>
      <c r="C101" t="s">
        <v>9</v>
      </c>
      <c r="D101">
        <v>0.99</v>
      </c>
      <c r="E101" t="s">
        <v>35</v>
      </c>
      <c r="F101" t="s">
        <v>39</v>
      </c>
      <c r="G101">
        <v>0</v>
      </c>
      <c r="H101">
        <v>134.017</v>
      </c>
      <c r="I101" t="s">
        <v>50</v>
      </c>
      <c r="J101" s="1">
        <v>45051</v>
      </c>
      <c r="K101">
        <v>20.361791464841598</v>
      </c>
      <c r="L101" s="1">
        <v>45072</v>
      </c>
      <c r="M101" s="1">
        <v>45069</v>
      </c>
      <c r="N101">
        <v>264.70328904294098</v>
      </c>
      <c r="O101">
        <v>-3</v>
      </c>
      <c r="P101" t="str">
        <f>IF(Table1[[#This Row],[Delivery Delay]]&gt;0,"Late","On Time")</f>
        <v>On Time</v>
      </c>
      <c r="Q101">
        <v>20.361791464841613</v>
      </c>
      <c r="R101">
        <v>0.2737459836957965</v>
      </c>
      <c r="S101">
        <v>3.7778147888361787E-3</v>
      </c>
      <c r="T101">
        <v>0.99</v>
      </c>
      <c r="U101">
        <v>1</v>
      </c>
      <c r="V101">
        <v>55.288254117581012</v>
      </c>
      <c r="AC101" t="s">
        <v>28</v>
      </c>
    </row>
    <row r="102" spans="1:29" x14ac:dyDescent="0.35">
      <c r="A102" t="s">
        <v>104</v>
      </c>
      <c r="B102" t="s">
        <v>4</v>
      </c>
      <c r="C102" t="s">
        <v>5</v>
      </c>
      <c r="D102">
        <v>0.75</v>
      </c>
      <c r="E102" t="s">
        <v>35</v>
      </c>
      <c r="F102" t="s">
        <v>39</v>
      </c>
      <c r="G102">
        <v>0</v>
      </c>
      <c r="H102">
        <v>306.96239999999898</v>
      </c>
      <c r="I102" t="s">
        <v>48</v>
      </c>
      <c r="J102" s="1">
        <v>44778</v>
      </c>
      <c r="K102">
        <v>17.315159371744201</v>
      </c>
      <c r="L102" s="1">
        <v>44798</v>
      </c>
      <c r="M102" s="1">
        <v>44804</v>
      </c>
      <c r="N102">
        <v>155.836434345698</v>
      </c>
      <c r="O102">
        <v>6</v>
      </c>
      <c r="P102" t="str">
        <f>IF(Table1[[#This Row],[Delivery Delay]]&gt;0,"Late","On Time")</f>
        <v>Late</v>
      </c>
      <c r="Q102">
        <v>17.315159371744222</v>
      </c>
      <c r="R102">
        <v>0.71662856630583316</v>
      </c>
      <c r="S102">
        <v>6.4169846043939972E-3</v>
      </c>
      <c r="T102">
        <v>0.75</v>
      </c>
      <c r="U102">
        <v>1</v>
      </c>
      <c r="V102">
        <v>57.025080864248487</v>
      </c>
      <c r="AC102" t="s">
        <v>29</v>
      </c>
    </row>
    <row r="103" spans="1:29" x14ac:dyDescent="0.35">
      <c r="A103" t="s">
        <v>105</v>
      </c>
      <c r="B103" t="s">
        <v>6</v>
      </c>
      <c r="C103" t="s">
        <v>7</v>
      </c>
      <c r="D103">
        <v>0.8</v>
      </c>
      <c r="E103" t="s">
        <v>36</v>
      </c>
      <c r="F103" t="s">
        <v>39</v>
      </c>
      <c r="G103">
        <v>0</v>
      </c>
      <c r="H103">
        <v>165.96899999999999</v>
      </c>
      <c r="I103" t="s">
        <v>50</v>
      </c>
      <c r="J103" s="1">
        <v>44286</v>
      </c>
      <c r="K103">
        <v>65.441869780791194</v>
      </c>
      <c r="L103" s="1">
        <v>44309</v>
      </c>
      <c r="M103" s="1">
        <v>44314</v>
      </c>
      <c r="N103">
        <v>1177.9536560542399</v>
      </c>
      <c r="O103">
        <v>5</v>
      </c>
      <c r="P103" t="str">
        <f>IF(Table1[[#This Row],[Delivery Delay]]&gt;0,"Late","On Time")</f>
        <v>Late</v>
      </c>
      <c r="Q103">
        <v>65.441869780791109</v>
      </c>
      <c r="R103">
        <v>0.14605845717619789</v>
      </c>
      <c r="S103">
        <v>8.4892983256206649E-4</v>
      </c>
      <c r="T103">
        <v>0.8</v>
      </c>
      <c r="U103">
        <v>1</v>
      </c>
      <c r="V103">
        <v>46.946637038500825</v>
      </c>
      <c r="AC103" t="s">
        <v>30</v>
      </c>
    </row>
    <row r="104" spans="1:29" x14ac:dyDescent="0.35">
      <c r="A104" t="s">
        <v>106</v>
      </c>
      <c r="B104" t="s">
        <v>8</v>
      </c>
      <c r="C104" t="s">
        <v>9</v>
      </c>
      <c r="D104">
        <v>0.62</v>
      </c>
      <c r="E104" t="s">
        <v>36</v>
      </c>
      <c r="F104" t="s">
        <v>34</v>
      </c>
      <c r="G104">
        <v>1</v>
      </c>
      <c r="H104">
        <v>105.8124</v>
      </c>
      <c r="I104" t="s">
        <v>47</v>
      </c>
      <c r="J104" s="1">
        <v>44716</v>
      </c>
      <c r="K104">
        <v>45.508374942609997</v>
      </c>
      <c r="L104" s="1">
        <v>44736</v>
      </c>
      <c r="M104" s="1">
        <v>44734</v>
      </c>
      <c r="N104">
        <v>546.10049931132005</v>
      </c>
      <c r="O104">
        <v>-2</v>
      </c>
      <c r="P104" t="str">
        <f>IF(Table1[[#This Row],[Delivery Delay]]&gt;0,"Late","On Time")</f>
        <v>On Time</v>
      </c>
      <c r="Q104">
        <v>45.508374942610004</v>
      </c>
      <c r="R104">
        <v>0.63802984037857624</v>
      </c>
      <c r="S104">
        <v>1.8311647787560832E-3</v>
      </c>
      <c r="T104">
        <v>0.62</v>
      </c>
      <c r="U104">
        <v>0</v>
      </c>
      <c r="V104">
        <v>31.41553175093421</v>
      </c>
      <c r="AC104" t="s">
        <v>31</v>
      </c>
    </row>
    <row r="105" spans="1:29" x14ac:dyDescent="0.35">
      <c r="A105" t="s">
        <v>108</v>
      </c>
      <c r="B105" t="s">
        <v>4</v>
      </c>
      <c r="C105" t="s">
        <v>9</v>
      </c>
      <c r="D105">
        <v>0.66</v>
      </c>
      <c r="E105" t="s">
        <v>38</v>
      </c>
      <c r="F105" t="s">
        <v>34</v>
      </c>
      <c r="G105">
        <v>1</v>
      </c>
      <c r="H105">
        <v>327.2285</v>
      </c>
      <c r="I105" t="s">
        <v>51</v>
      </c>
      <c r="J105" s="1">
        <v>45381</v>
      </c>
      <c r="K105">
        <v>78.501627196440296</v>
      </c>
      <c r="L105" s="1">
        <v>45391</v>
      </c>
      <c r="M105" s="1">
        <v>45395</v>
      </c>
      <c r="N105">
        <v>1099.0227807501601</v>
      </c>
      <c r="O105">
        <v>4</v>
      </c>
      <c r="P105" t="str">
        <f>IF(Table1[[#This Row],[Delivery Delay]]&gt;0,"Late","On Time")</f>
        <v>Late</v>
      </c>
      <c r="Q105">
        <v>78.501627196440012</v>
      </c>
      <c r="R105">
        <v>0.27343587121055446</v>
      </c>
      <c r="S105">
        <v>9.0989924641728527E-4</v>
      </c>
      <c r="T105">
        <v>0.66</v>
      </c>
      <c r="U105">
        <v>0</v>
      </c>
      <c r="V105">
        <v>25.296014401603607</v>
      </c>
      <c r="AC105" t="s">
        <v>32</v>
      </c>
    </row>
    <row r="106" spans="1:29" x14ac:dyDescent="0.35">
      <c r="A106" t="s">
        <v>105</v>
      </c>
      <c r="B106" t="s">
        <v>10</v>
      </c>
      <c r="C106" t="s">
        <v>9</v>
      </c>
      <c r="D106">
        <v>0.89</v>
      </c>
      <c r="E106" t="s">
        <v>37</v>
      </c>
      <c r="F106" t="s">
        <v>34</v>
      </c>
      <c r="G106">
        <v>1</v>
      </c>
      <c r="H106">
        <v>201.31299999999999</v>
      </c>
      <c r="I106" t="s">
        <v>48</v>
      </c>
      <c r="J106" s="1">
        <v>45266</v>
      </c>
      <c r="K106">
        <v>5.08304515821394</v>
      </c>
      <c r="L106" s="1">
        <v>45278</v>
      </c>
      <c r="M106" s="1">
        <v>45278</v>
      </c>
      <c r="N106">
        <v>45.747406423925398</v>
      </c>
      <c r="O106">
        <v>0</v>
      </c>
      <c r="P106" t="str">
        <f>IF(Table1[[#This Row],[Delivery Delay]]&gt;0,"Late","On Time")</f>
        <v>On Time</v>
      </c>
      <c r="Q106">
        <v>5.0830451582139329</v>
      </c>
      <c r="R106">
        <v>0.67325835331574213</v>
      </c>
      <c r="S106">
        <v>2.1859162697297978E-2</v>
      </c>
      <c r="T106">
        <v>0.89</v>
      </c>
      <c r="U106">
        <v>0</v>
      </c>
      <c r="V106">
        <v>40.820941947233784</v>
      </c>
      <c r="AC106" t="s">
        <v>33</v>
      </c>
    </row>
    <row r="107" spans="1:29" x14ac:dyDescent="0.35">
      <c r="A107" t="s">
        <v>106</v>
      </c>
      <c r="B107" t="s">
        <v>4</v>
      </c>
      <c r="C107" t="s">
        <v>11</v>
      </c>
      <c r="D107">
        <v>0.63</v>
      </c>
      <c r="E107" t="s">
        <v>37</v>
      </c>
      <c r="F107" t="s">
        <v>34</v>
      </c>
      <c r="G107">
        <v>1</v>
      </c>
      <c r="H107">
        <v>557.70500000000004</v>
      </c>
      <c r="I107" t="s">
        <v>45</v>
      </c>
      <c r="J107" s="1">
        <v>44440</v>
      </c>
      <c r="K107">
        <v>73.543535091207502</v>
      </c>
      <c r="L107" s="1">
        <v>44463</v>
      </c>
      <c r="M107" s="1">
        <v>44460</v>
      </c>
      <c r="N107">
        <v>735.43535091207502</v>
      </c>
      <c r="O107">
        <v>-3</v>
      </c>
      <c r="P107" t="str">
        <f>IF(Table1[[#This Row],[Delivery Delay]]&gt;0,"Late","On Time")</f>
        <v>On Time</v>
      </c>
      <c r="Q107">
        <v>73.543535091207502</v>
      </c>
      <c r="R107">
        <v>0.68137030317469049</v>
      </c>
      <c r="S107">
        <v>1.3597388251187766E-3</v>
      </c>
      <c r="T107">
        <v>0.63</v>
      </c>
      <c r="U107">
        <v>0</v>
      </c>
      <c r="V107">
        <v>32.568198228247375</v>
      </c>
    </row>
    <row r="108" spans="1:29" x14ac:dyDescent="0.35">
      <c r="A108" t="s">
        <v>108</v>
      </c>
      <c r="B108" t="s">
        <v>6</v>
      </c>
      <c r="C108" t="s">
        <v>11</v>
      </c>
      <c r="D108">
        <v>0.84</v>
      </c>
      <c r="E108" t="s">
        <v>38</v>
      </c>
      <c r="F108" t="s">
        <v>34</v>
      </c>
      <c r="G108">
        <v>1</v>
      </c>
      <c r="H108">
        <v>388.14079999999899</v>
      </c>
      <c r="I108" t="s">
        <v>45</v>
      </c>
      <c r="J108" s="1">
        <v>44303</v>
      </c>
      <c r="K108">
        <v>65.159655638704805</v>
      </c>
      <c r="L108" s="1">
        <v>44320</v>
      </c>
      <c r="M108" s="1">
        <v>44326</v>
      </c>
      <c r="N108">
        <v>651.59655638704805</v>
      </c>
      <c r="O108">
        <v>6</v>
      </c>
      <c r="P108" t="str">
        <f>IF(Table1[[#This Row],[Delivery Delay]]&gt;0,"Late","On Time")</f>
        <v>Late</v>
      </c>
      <c r="Q108">
        <v>65.159655638704805</v>
      </c>
      <c r="R108">
        <v>0.20542845722879785</v>
      </c>
      <c r="S108">
        <v>1.5346919657537302E-3</v>
      </c>
      <c r="T108">
        <v>0.84</v>
      </c>
      <c r="U108">
        <v>0</v>
      </c>
      <c r="V108">
        <v>29.354609903548567</v>
      </c>
    </row>
    <row r="109" spans="1:29" x14ac:dyDescent="0.35">
      <c r="A109" t="s">
        <v>107</v>
      </c>
      <c r="B109" t="s">
        <v>4</v>
      </c>
      <c r="C109" t="s">
        <v>9</v>
      </c>
      <c r="D109">
        <v>0.7</v>
      </c>
      <c r="E109" t="s">
        <v>37</v>
      </c>
      <c r="F109" t="s">
        <v>34</v>
      </c>
      <c r="G109">
        <v>1</v>
      </c>
      <c r="H109">
        <v>-20.858999999999899</v>
      </c>
      <c r="I109" t="s">
        <v>46</v>
      </c>
      <c r="J109" s="1">
        <v>45355</v>
      </c>
      <c r="K109">
        <v>73.396739510924803</v>
      </c>
      <c r="L109" s="1">
        <v>45379</v>
      </c>
      <c r="M109" s="1">
        <v>45379</v>
      </c>
      <c r="N109">
        <v>880.76087413109701</v>
      </c>
      <c r="O109">
        <v>0</v>
      </c>
      <c r="P109" t="str">
        <f>IF(Table1[[#This Row],[Delivery Delay]]&gt;0,"Late","On Time")</f>
        <v>On Time</v>
      </c>
      <c r="Q109">
        <v>73.396739510924746</v>
      </c>
      <c r="R109">
        <v>0</v>
      </c>
      <c r="S109">
        <v>1.1353819514139257E-3</v>
      </c>
      <c r="T109">
        <v>0.7</v>
      </c>
      <c r="U109">
        <v>0</v>
      </c>
      <c r="V109">
        <v>21.034061458542418</v>
      </c>
    </row>
    <row r="110" spans="1:29" x14ac:dyDescent="0.35">
      <c r="A110" t="s">
        <v>100</v>
      </c>
      <c r="B110" t="s">
        <v>6</v>
      </c>
      <c r="C110" t="s">
        <v>9</v>
      </c>
      <c r="D110">
        <v>0.75</v>
      </c>
      <c r="E110" t="s">
        <v>35</v>
      </c>
      <c r="F110" t="s">
        <v>34</v>
      </c>
      <c r="G110">
        <v>1</v>
      </c>
      <c r="H110">
        <v>383.60160000000002</v>
      </c>
      <c r="I110" t="s">
        <v>50</v>
      </c>
      <c r="J110" s="1">
        <v>45175</v>
      </c>
      <c r="K110">
        <v>6.5698577967349197</v>
      </c>
      <c r="L110" s="1">
        <v>45198</v>
      </c>
      <c r="M110" s="1">
        <v>45201</v>
      </c>
      <c r="N110">
        <v>85.408151357553905</v>
      </c>
      <c r="O110">
        <v>3</v>
      </c>
      <c r="P110" t="str">
        <f>IF(Table1[[#This Row],[Delivery Delay]]&gt;0,"Late","On Time")</f>
        <v>Late</v>
      </c>
      <c r="Q110">
        <v>6.5698577967349161</v>
      </c>
      <c r="R110">
        <v>0.28369088885694055</v>
      </c>
      <c r="S110">
        <v>1.1708484308641522E-2</v>
      </c>
      <c r="T110">
        <v>0.75</v>
      </c>
      <c r="U110">
        <v>0</v>
      </c>
      <c r="V110">
        <v>28.525072306398052</v>
      </c>
    </row>
    <row r="111" spans="1:29" x14ac:dyDescent="0.35">
      <c r="A111" t="s">
        <v>101</v>
      </c>
      <c r="B111" t="s">
        <v>12</v>
      </c>
      <c r="C111" t="s">
        <v>9</v>
      </c>
      <c r="D111">
        <v>0.71</v>
      </c>
      <c r="E111" t="s">
        <v>37</v>
      </c>
      <c r="F111" t="s">
        <v>34</v>
      </c>
      <c r="G111">
        <v>1</v>
      </c>
      <c r="H111">
        <v>407.46</v>
      </c>
      <c r="I111" t="s">
        <v>45</v>
      </c>
      <c r="J111" s="1">
        <v>44699</v>
      </c>
      <c r="K111">
        <v>65.943469203655098</v>
      </c>
      <c r="L111" s="1">
        <v>44723</v>
      </c>
      <c r="M111" s="1">
        <v>44720</v>
      </c>
      <c r="N111">
        <v>461.60428442558498</v>
      </c>
      <c r="O111">
        <v>-3</v>
      </c>
      <c r="P111" t="str">
        <f>IF(Table1[[#This Row],[Delivery Delay]]&gt;0,"Late","On Time")</f>
        <v>On Time</v>
      </c>
      <c r="Q111">
        <v>65.943469203654999</v>
      </c>
      <c r="R111">
        <v>0.51611187110503109</v>
      </c>
      <c r="S111">
        <v>2.1663577088423007E-3</v>
      </c>
      <c r="T111">
        <v>0.71</v>
      </c>
      <c r="U111">
        <v>0</v>
      </c>
      <c r="V111">
        <v>31.687228153365886</v>
      </c>
    </row>
    <row r="112" spans="1:29" x14ac:dyDescent="0.35">
      <c r="A112" t="s">
        <v>102</v>
      </c>
      <c r="B112" t="s">
        <v>13</v>
      </c>
      <c r="C112" t="s">
        <v>11</v>
      </c>
      <c r="D112">
        <v>0.74</v>
      </c>
      <c r="E112" t="s">
        <v>35</v>
      </c>
      <c r="F112" t="s">
        <v>34</v>
      </c>
      <c r="G112">
        <v>1</v>
      </c>
      <c r="H112">
        <v>335.86</v>
      </c>
      <c r="I112" t="s">
        <v>46</v>
      </c>
      <c r="J112" s="1">
        <v>44766</v>
      </c>
      <c r="K112">
        <v>26.399777908226898</v>
      </c>
      <c r="L112" s="1">
        <v>44780</v>
      </c>
      <c r="M112" s="1">
        <v>44783</v>
      </c>
      <c r="N112">
        <v>395.99666862340302</v>
      </c>
      <c r="O112">
        <v>3</v>
      </c>
      <c r="P112" t="str">
        <f>IF(Table1[[#This Row],[Delivery Delay]]&gt;0,"Late","On Time")</f>
        <v>Late</v>
      </c>
      <c r="Q112">
        <v>26.39977790822687</v>
      </c>
      <c r="R112">
        <v>0.61886861986364472</v>
      </c>
      <c r="S112">
        <v>2.525273769287717E-3</v>
      </c>
      <c r="T112">
        <v>0.74</v>
      </c>
      <c r="U112">
        <v>0</v>
      </c>
      <c r="V112">
        <v>34.653130610351525</v>
      </c>
    </row>
    <row r="113" spans="1:22" x14ac:dyDescent="0.35">
      <c r="A113" t="s">
        <v>99</v>
      </c>
      <c r="B113" t="s">
        <v>6</v>
      </c>
      <c r="C113" t="s">
        <v>11</v>
      </c>
      <c r="D113">
        <v>0.88</v>
      </c>
      <c r="E113" t="s">
        <v>36</v>
      </c>
      <c r="F113" t="s">
        <v>34</v>
      </c>
      <c r="G113">
        <v>1</v>
      </c>
      <c r="H113">
        <v>10.2899999999999</v>
      </c>
      <c r="I113" t="s">
        <v>51</v>
      </c>
      <c r="J113" s="1">
        <v>44373</v>
      </c>
      <c r="K113">
        <v>51.537475405087498</v>
      </c>
      <c r="L113" s="1">
        <v>44383</v>
      </c>
      <c r="M113" s="1">
        <v>44380</v>
      </c>
      <c r="N113">
        <v>876.13708188648695</v>
      </c>
      <c r="O113">
        <v>-3</v>
      </c>
      <c r="P113" t="str">
        <f>IF(Table1[[#This Row],[Delivery Delay]]&gt;0,"Late","On Time")</f>
        <v>On Time</v>
      </c>
      <c r="Q113">
        <v>51.53747540508747</v>
      </c>
      <c r="R113">
        <v>6.7710732381390401E-2</v>
      </c>
      <c r="S113">
        <v>1.1413739021829928E-3</v>
      </c>
      <c r="T113">
        <v>0.88</v>
      </c>
      <c r="U113">
        <v>0</v>
      </c>
      <c r="V113">
        <v>27.788455864693301</v>
      </c>
    </row>
    <row r="114" spans="1:22" x14ac:dyDescent="0.35">
      <c r="A114" t="s">
        <v>103</v>
      </c>
      <c r="B114" t="s">
        <v>6</v>
      </c>
      <c r="C114" t="s">
        <v>9</v>
      </c>
      <c r="D114">
        <v>0.72</v>
      </c>
      <c r="E114" t="s">
        <v>35</v>
      </c>
      <c r="F114" t="s">
        <v>34</v>
      </c>
      <c r="G114">
        <v>1</v>
      </c>
      <c r="H114">
        <v>17.234399999999798</v>
      </c>
      <c r="I114" t="s">
        <v>47</v>
      </c>
      <c r="J114" s="1">
        <v>45324</v>
      </c>
      <c r="K114">
        <v>36.551375621021897</v>
      </c>
      <c r="L114" s="1">
        <v>45344</v>
      </c>
      <c r="M114" s="1">
        <v>45347</v>
      </c>
      <c r="N114">
        <v>328.96238058919698</v>
      </c>
      <c r="O114">
        <v>3</v>
      </c>
      <c r="P114" t="str">
        <f>IF(Table1[[#This Row],[Delivery Delay]]&gt;0,"Late","On Time")</f>
        <v>Late</v>
      </c>
      <c r="Q114">
        <v>36.55137562102189</v>
      </c>
      <c r="R114">
        <v>1.5789149659415039E-2</v>
      </c>
      <c r="S114">
        <v>3.0398612698781025E-3</v>
      </c>
      <c r="T114">
        <v>0.72</v>
      </c>
      <c r="U114">
        <v>0</v>
      </c>
      <c r="V114">
        <v>22.006978831284645</v>
      </c>
    </row>
    <row r="115" spans="1:22" x14ac:dyDescent="0.35">
      <c r="A115" t="s">
        <v>104</v>
      </c>
      <c r="B115" t="s">
        <v>14</v>
      </c>
      <c r="C115" t="s">
        <v>5</v>
      </c>
      <c r="D115">
        <v>0.82</v>
      </c>
      <c r="E115" t="s">
        <v>37</v>
      </c>
      <c r="F115" t="s">
        <v>34</v>
      </c>
      <c r="G115">
        <v>1</v>
      </c>
      <c r="H115">
        <v>556.44000000000005</v>
      </c>
      <c r="I115" t="s">
        <v>47</v>
      </c>
      <c r="J115" s="1">
        <v>44288</v>
      </c>
      <c r="K115">
        <v>75.868877780141403</v>
      </c>
      <c r="L115" s="1">
        <v>44309</v>
      </c>
      <c r="M115" s="1">
        <v>44313</v>
      </c>
      <c r="N115">
        <v>758.68877780141395</v>
      </c>
      <c r="O115">
        <v>4</v>
      </c>
      <c r="P115" t="str">
        <f>IF(Table1[[#This Row],[Delivery Delay]]&gt;0,"Late","On Time")</f>
        <v>Late</v>
      </c>
      <c r="Q115">
        <v>75.868877780141389</v>
      </c>
      <c r="R115">
        <v>0.86205614426473332</v>
      </c>
      <c r="S115">
        <v>1.3180635186115131E-3</v>
      </c>
      <c r="T115">
        <v>0.82</v>
      </c>
      <c r="U115">
        <v>0</v>
      </c>
      <c r="V115">
        <v>41.880664790853011</v>
      </c>
    </row>
    <row r="116" spans="1:22" x14ac:dyDescent="0.35">
      <c r="A116" t="s">
        <v>105</v>
      </c>
      <c r="B116" t="s">
        <v>6</v>
      </c>
      <c r="C116" t="s">
        <v>7</v>
      </c>
      <c r="D116">
        <v>0.79</v>
      </c>
      <c r="E116" t="s">
        <v>35</v>
      </c>
      <c r="F116" t="s">
        <v>39</v>
      </c>
      <c r="G116">
        <v>0</v>
      </c>
      <c r="H116">
        <v>546.02160000000003</v>
      </c>
      <c r="I116" t="s">
        <v>47</v>
      </c>
      <c r="J116" s="1">
        <v>44877</v>
      </c>
      <c r="K116">
        <v>12.653372532484999</v>
      </c>
      <c r="L116" s="1">
        <v>44887</v>
      </c>
      <c r="M116" s="1">
        <v>44892</v>
      </c>
      <c r="N116">
        <v>227.76070558473</v>
      </c>
      <c r="O116">
        <v>5</v>
      </c>
      <c r="P116" t="str">
        <f>IF(Table1[[#This Row],[Delivery Delay]]&gt;0,"Late","On Time")</f>
        <v>Late</v>
      </c>
      <c r="Q116">
        <v>12.653372532485001</v>
      </c>
      <c r="R116">
        <v>0.42431143040448804</v>
      </c>
      <c r="S116">
        <v>4.3905729806759256E-3</v>
      </c>
      <c r="T116">
        <v>0.79</v>
      </c>
      <c r="U116">
        <v>1</v>
      </c>
      <c r="V116">
        <v>52.317945797510035</v>
      </c>
    </row>
    <row r="117" spans="1:22" x14ac:dyDescent="0.35">
      <c r="A117" t="s">
        <v>106</v>
      </c>
      <c r="B117" t="s">
        <v>6</v>
      </c>
      <c r="C117" t="s">
        <v>11</v>
      </c>
      <c r="D117">
        <v>0.86</v>
      </c>
      <c r="E117" t="s">
        <v>35</v>
      </c>
      <c r="F117" t="s">
        <v>34</v>
      </c>
      <c r="G117">
        <v>1</v>
      </c>
      <c r="H117">
        <v>32.97</v>
      </c>
      <c r="I117" t="s">
        <v>45</v>
      </c>
      <c r="J117" s="1">
        <v>44365</v>
      </c>
      <c r="K117">
        <v>32.6735301654968</v>
      </c>
      <c r="L117" s="1">
        <v>44380</v>
      </c>
      <c r="M117" s="1">
        <v>44386</v>
      </c>
      <c r="N117">
        <v>326.735301654968</v>
      </c>
      <c r="O117">
        <v>6</v>
      </c>
      <c r="P117" t="str">
        <f>IF(Table1[[#This Row],[Delivery Delay]]&gt;0,"Late","On Time")</f>
        <v>Late</v>
      </c>
      <c r="Q117">
        <v>32.6735301654968</v>
      </c>
      <c r="R117">
        <v>0.13430282292557741</v>
      </c>
      <c r="S117">
        <v>3.060581439883709E-3</v>
      </c>
      <c r="T117">
        <v>0.86</v>
      </c>
      <c r="U117">
        <v>0</v>
      </c>
      <c r="V117">
        <v>28.577873901708063</v>
      </c>
    </row>
    <row r="118" spans="1:22" x14ac:dyDescent="0.35">
      <c r="A118" t="s">
        <v>108</v>
      </c>
      <c r="B118" t="s">
        <v>8</v>
      </c>
      <c r="C118" t="s">
        <v>11</v>
      </c>
      <c r="D118">
        <v>0.97</v>
      </c>
      <c r="E118" t="s">
        <v>36</v>
      </c>
      <c r="F118" t="s">
        <v>34</v>
      </c>
      <c r="G118">
        <v>1</v>
      </c>
      <c r="H118">
        <v>-103.75360000000001</v>
      </c>
      <c r="I118" t="s">
        <v>51</v>
      </c>
      <c r="J118" s="1">
        <v>45286</v>
      </c>
      <c r="K118">
        <v>5.0876208582025999</v>
      </c>
      <c r="L118" s="1">
        <v>45298</v>
      </c>
      <c r="M118" s="1">
        <v>45297</v>
      </c>
      <c r="N118">
        <v>40.700966865620799</v>
      </c>
      <c r="O118">
        <v>-1</v>
      </c>
      <c r="P118" t="str">
        <f>IF(Table1[[#This Row],[Delivery Delay]]&gt;0,"Late","On Time")</f>
        <v>On Time</v>
      </c>
      <c r="Q118">
        <v>5.0876208582025999</v>
      </c>
      <c r="R118">
        <v>0</v>
      </c>
      <c r="S118">
        <v>2.4569440900547201E-2</v>
      </c>
      <c r="T118">
        <v>0.97</v>
      </c>
      <c r="U118">
        <v>0</v>
      </c>
      <c r="V118">
        <v>29.837083227016414</v>
      </c>
    </row>
    <row r="119" spans="1:22" x14ac:dyDescent="0.35">
      <c r="A119" t="s">
        <v>107</v>
      </c>
      <c r="B119" t="s">
        <v>13</v>
      </c>
      <c r="C119" t="s">
        <v>5</v>
      </c>
      <c r="D119">
        <v>0.89</v>
      </c>
      <c r="E119" t="s">
        <v>36</v>
      </c>
      <c r="F119" t="s">
        <v>34</v>
      </c>
      <c r="G119">
        <v>1</v>
      </c>
      <c r="H119">
        <v>307.89800000000002</v>
      </c>
      <c r="I119" t="s">
        <v>45</v>
      </c>
      <c r="J119" s="1">
        <v>44315</v>
      </c>
      <c r="K119">
        <v>58.599790489647503</v>
      </c>
      <c r="L119" s="1">
        <v>44336</v>
      </c>
      <c r="M119" s="1">
        <v>44336</v>
      </c>
      <c r="N119">
        <v>410.19853342753203</v>
      </c>
      <c r="O119">
        <v>0</v>
      </c>
      <c r="P119" t="str">
        <f>IF(Table1[[#This Row],[Delivery Delay]]&gt;0,"Late","On Time")</f>
        <v>On Time</v>
      </c>
      <c r="Q119">
        <v>58.599790489647432</v>
      </c>
      <c r="R119">
        <v>0.70325569072080185</v>
      </c>
      <c r="S119">
        <v>2.4378439182710186E-3</v>
      </c>
      <c r="T119">
        <v>0.89</v>
      </c>
      <c r="U119">
        <v>0</v>
      </c>
      <c r="V119">
        <v>40.838249131964169</v>
      </c>
    </row>
    <row r="120" spans="1:22" x14ac:dyDescent="0.35">
      <c r="A120" t="s">
        <v>100</v>
      </c>
      <c r="B120" t="s">
        <v>12</v>
      </c>
      <c r="C120" t="s">
        <v>5</v>
      </c>
      <c r="D120">
        <v>0.68</v>
      </c>
      <c r="E120" t="s">
        <v>35</v>
      </c>
      <c r="F120" t="s">
        <v>34</v>
      </c>
      <c r="G120">
        <v>1</v>
      </c>
      <c r="H120">
        <v>154.38200000000001</v>
      </c>
      <c r="I120" t="s">
        <v>50</v>
      </c>
      <c r="J120" s="1">
        <v>44713</v>
      </c>
      <c r="K120">
        <v>69.283319977685693</v>
      </c>
      <c r="L120" s="1">
        <v>44727</v>
      </c>
      <c r="M120" s="1">
        <v>44732</v>
      </c>
      <c r="N120">
        <v>762.11651975454299</v>
      </c>
      <c r="O120">
        <v>5</v>
      </c>
      <c r="P120" t="str">
        <f>IF(Table1[[#This Row],[Delivery Delay]]&gt;0,"Late","On Time")</f>
        <v>Late</v>
      </c>
      <c r="Q120">
        <v>69.283319977685721</v>
      </c>
      <c r="R120">
        <v>0.2632788864596799</v>
      </c>
      <c r="S120">
        <v>1.3121353153741804E-3</v>
      </c>
      <c r="T120">
        <v>0.68</v>
      </c>
      <c r="U120">
        <v>0</v>
      </c>
      <c r="V120">
        <v>25.704941788654821</v>
      </c>
    </row>
    <row r="121" spans="1:22" x14ac:dyDescent="0.35">
      <c r="A121" t="s">
        <v>101</v>
      </c>
      <c r="B121" t="s">
        <v>10</v>
      </c>
      <c r="C121" t="s">
        <v>9</v>
      </c>
      <c r="D121">
        <v>0.61</v>
      </c>
      <c r="E121" t="s">
        <v>37</v>
      </c>
      <c r="F121" t="s">
        <v>34</v>
      </c>
      <c r="G121">
        <v>1</v>
      </c>
      <c r="H121">
        <v>550.23149999999896</v>
      </c>
      <c r="I121" t="s">
        <v>45</v>
      </c>
      <c r="J121" s="1">
        <v>44680</v>
      </c>
      <c r="K121">
        <v>15.7960853461518</v>
      </c>
      <c r="L121" s="1">
        <v>44702</v>
      </c>
      <c r="M121" s="1">
        <v>44702</v>
      </c>
      <c r="N121">
        <v>142.164768115366</v>
      </c>
      <c r="O121">
        <v>0</v>
      </c>
      <c r="P121" t="str">
        <f>IF(Table1[[#This Row],[Delivery Delay]]&gt;0,"Late","On Time")</f>
        <v>On Time</v>
      </c>
      <c r="Q121">
        <v>15.796085346151777</v>
      </c>
      <c r="R121">
        <v>0.60093116062520668</v>
      </c>
      <c r="S121">
        <v>7.0340915914448299E-3</v>
      </c>
      <c r="T121">
        <v>0.61</v>
      </c>
      <c r="U121">
        <v>0</v>
      </c>
      <c r="V121">
        <v>30.529645960247475</v>
      </c>
    </row>
    <row r="122" spans="1:22" x14ac:dyDescent="0.35">
      <c r="A122" t="s">
        <v>102</v>
      </c>
      <c r="B122" t="s">
        <v>14</v>
      </c>
      <c r="C122" t="s">
        <v>9</v>
      </c>
      <c r="D122">
        <v>0.7</v>
      </c>
      <c r="E122" t="s">
        <v>35</v>
      </c>
      <c r="F122" t="s">
        <v>34</v>
      </c>
      <c r="G122">
        <v>1</v>
      </c>
      <c r="H122">
        <v>462.80399999999997</v>
      </c>
      <c r="I122" t="s">
        <v>51</v>
      </c>
      <c r="J122" s="1">
        <v>44901</v>
      </c>
      <c r="K122">
        <v>49.689895957138098</v>
      </c>
      <c r="L122" s="1">
        <v>44921</v>
      </c>
      <c r="M122" s="1">
        <v>44926</v>
      </c>
      <c r="N122">
        <v>496.898959571381</v>
      </c>
      <c r="O122">
        <v>5</v>
      </c>
      <c r="P122" t="str">
        <f>IF(Table1[[#This Row],[Delivery Delay]]&gt;0,"Late","On Time")</f>
        <v>Late</v>
      </c>
      <c r="Q122">
        <v>49.689895957138098</v>
      </c>
      <c r="R122">
        <v>0.31986696745513055</v>
      </c>
      <c r="S122">
        <v>2.01248157344219E-3</v>
      </c>
      <c r="T122">
        <v>0.7</v>
      </c>
      <c r="U122">
        <v>0</v>
      </c>
      <c r="V122">
        <v>27.457713796305878</v>
      </c>
    </row>
    <row r="123" spans="1:22" x14ac:dyDescent="0.35">
      <c r="A123" t="s">
        <v>99</v>
      </c>
      <c r="B123" t="s">
        <v>8</v>
      </c>
      <c r="C123" t="s">
        <v>7</v>
      </c>
      <c r="D123">
        <v>0.83</v>
      </c>
      <c r="E123" t="s">
        <v>37</v>
      </c>
      <c r="F123" t="s">
        <v>34</v>
      </c>
      <c r="G123">
        <v>1</v>
      </c>
      <c r="H123">
        <v>926.05520000000001</v>
      </c>
      <c r="I123" t="s">
        <v>51</v>
      </c>
      <c r="J123" s="1">
        <v>44711</v>
      </c>
      <c r="K123">
        <v>19.815473449609399</v>
      </c>
      <c r="L123" s="1">
        <v>44729</v>
      </c>
      <c r="M123" s="1">
        <v>44731</v>
      </c>
      <c r="N123">
        <v>277.41662829453202</v>
      </c>
      <c r="O123">
        <v>2</v>
      </c>
      <c r="P123" t="str">
        <f>IF(Table1[[#This Row],[Delivery Delay]]&gt;0,"Late","On Time")</f>
        <v>Late</v>
      </c>
      <c r="Q123">
        <v>19.815473449609431</v>
      </c>
      <c r="R123">
        <v>0.4486451143812128</v>
      </c>
      <c r="S123">
        <v>3.6046865905179424E-3</v>
      </c>
      <c r="T123">
        <v>0.83</v>
      </c>
      <c r="U123">
        <v>0</v>
      </c>
      <c r="V123">
        <v>33.981042885339789</v>
      </c>
    </row>
    <row r="124" spans="1:22" x14ac:dyDescent="0.35">
      <c r="A124" t="s">
        <v>103</v>
      </c>
      <c r="B124" t="s">
        <v>15</v>
      </c>
      <c r="C124" t="s">
        <v>7</v>
      </c>
      <c r="D124">
        <v>0.62</v>
      </c>
      <c r="E124" t="s">
        <v>36</v>
      </c>
      <c r="F124" t="s">
        <v>34</v>
      </c>
      <c r="G124">
        <v>1</v>
      </c>
      <c r="H124">
        <v>659.65559999999903</v>
      </c>
      <c r="I124" t="s">
        <v>50</v>
      </c>
      <c r="J124" s="1">
        <v>45108</v>
      </c>
      <c r="K124">
        <v>13.3592082285743</v>
      </c>
      <c r="L124" s="1">
        <v>45125</v>
      </c>
      <c r="M124" s="1">
        <v>45129</v>
      </c>
      <c r="N124">
        <v>66.7960411428719</v>
      </c>
      <c r="O124">
        <v>4</v>
      </c>
      <c r="P124" t="str">
        <f>IF(Table1[[#This Row],[Delivery Delay]]&gt;0,"Late","On Time")</f>
        <v>Late</v>
      </c>
      <c r="Q124">
        <v>13.35920822857438</v>
      </c>
      <c r="R124">
        <v>0.50694555236576611</v>
      </c>
      <c r="S124">
        <v>1.4970947123364277E-2</v>
      </c>
      <c r="T124">
        <v>0.62</v>
      </c>
      <c r="U124">
        <v>0</v>
      </c>
      <c r="V124">
        <v>29.188039461016253</v>
      </c>
    </row>
    <row r="125" spans="1:22" x14ac:dyDescent="0.35">
      <c r="A125" t="s">
        <v>104</v>
      </c>
      <c r="B125" t="s">
        <v>13</v>
      </c>
      <c r="C125" t="s">
        <v>9</v>
      </c>
      <c r="D125">
        <v>0.79</v>
      </c>
      <c r="E125" t="s">
        <v>36</v>
      </c>
      <c r="F125" t="s">
        <v>34</v>
      </c>
      <c r="G125">
        <v>1</v>
      </c>
      <c r="H125">
        <v>205</v>
      </c>
      <c r="I125" t="s">
        <v>51</v>
      </c>
      <c r="J125" s="1">
        <v>45265</v>
      </c>
      <c r="K125">
        <v>49.238352650029498</v>
      </c>
      <c r="L125" s="1">
        <v>45282</v>
      </c>
      <c r="M125" s="1">
        <v>45285</v>
      </c>
      <c r="N125">
        <v>246.19176325014701</v>
      </c>
      <c r="O125">
        <v>3</v>
      </c>
      <c r="P125" t="str">
        <f>IF(Table1[[#This Row],[Delivery Delay]]&gt;0,"Late","On Time")</f>
        <v>Late</v>
      </c>
      <c r="Q125">
        <v>49.238352650029398</v>
      </c>
      <c r="R125">
        <v>0.56786703601108035</v>
      </c>
      <c r="S125">
        <v>4.061874316176591E-3</v>
      </c>
      <c r="T125">
        <v>0.79</v>
      </c>
      <c r="U125">
        <v>0</v>
      </c>
      <c r="V125">
        <v>35.179196949706906</v>
      </c>
    </row>
    <row r="126" spans="1:22" x14ac:dyDescent="0.35">
      <c r="A126" t="s">
        <v>105</v>
      </c>
      <c r="B126" t="s">
        <v>12</v>
      </c>
      <c r="C126" t="s">
        <v>9</v>
      </c>
      <c r="D126">
        <v>0.83</v>
      </c>
      <c r="E126" t="s">
        <v>36</v>
      </c>
      <c r="F126" t="s">
        <v>34</v>
      </c>
      <c r="G126">
        <v>1</v>
      </c>
      <c r="H126">
        <v>505.76299999999998</v>
      </c>
      <c r="I126" t="s">
        <v>51</v>
      </c>
      <c r="J126" s="1">
        <v>44760</v>
      </c>
      <c r="K126">
        <v>18.783316836702401</v>
      </c>
      <c r="L126" s="1">
        <v>44781</v>
      </c>
      <c r="M126" s="1">
        <v>44785</v>
      </c>
      <c r="N126">
        <v>131.48321785691601</v>
      </c>
      <c r="O126">
        <v>4</v>
      </c>
      <c r="P126" t="str">
        <f>IF(Table1[[#This Row],[Delivery Delay]]&gt;0,"Late","On Time")</f>
        <v>Late</v>
      </c>
      <c r="Q126">
        <v>18.783316836702287</v>
      </c>
      <c r="R126">
        <v>0.78569642060980593</v>
      </c>
      <c r="S126">
        <v>7.6055333623507001E-3</v>
      </c>
      <c r="T126">
        <v>0.83</v>
      </c>
      <c r="U126">
        <v>0</v>
      </c>
      <c r="V126">
        <v>40.84209441306664</v>
      </c>
    </row>
    <row r="127" spans="1:22" x14ac:dyDescent="0.35">
      <c r="A127" t="s">
        <v>106</v>
      </c>
      <c r="B127" t="s">
        <v>12</v>
      </c>
      <c r="C127" t="s">
        <v>11</v>
      </c>
      <c r="D127">
        <v>0.73</v>
      </c>
      <c r="E127" t="s">
        <v>36</v>
      </c>
      <c r="F127" t="s">
        <v>34</v>
      </c>
      <c r="G127">
        <v>1</v>
      </c>
      <c r="H127">
        <v>288.856799999999</v>
      </c>
      <c r="I127" t="s">
        <v>47</v>
      </c>
      <c r="J127" s="1">
        <v>45370</v>
      </c>
      <c r="K127">
        <v>35.692929575899598</v>
      </c>
      <c r="L127" s="1">
        <v>45383</v>
      </c>
      <c r="M127" s="1">
        <v>45387</v>
      </c>
      <c r="N127">
        <v>606.77980279029396</v>
      </c>
      <c r="O127">
        <v>4</v>
      </c>
      <c r="P127" t="str">
        <f>IF(Table1[[#This Row],[Delivery Delay]]&gt;0,"Late","On Time")</f>
        <v>Late</v>
      </c>
      <c r="Q127">
        <v>35.692929575899647</v>
      </c>
      <c r="R127">
        <v>0.51868999785956571</v>
      </c>
      <c r="S127">
        <v>1.6480443076738415E-3</v>
      </c>
      <c r="T127">
        <v>0.73</v>
      </c>
      <c r="U127">
        <v>0</v>
      </c>
      <c r="V127">
        <v>32.323241286421535</v>
      </c>
    </row>
    <row r="128" spans="1:22" x14ac:dyDescent="0.35">
      <c r="A128" t="s">
        <v>108</v>
      </c>
      <c r="B128" t="s">
        <v>15</v>
      </c>
      <c r="C128" t="s">
        <v>9</v>
      </c>
      <c r="D128">
        <v>0.9</v>
      </c>
      <c r="E128" t="s">
        <v>36</v>
      </c>
      <c r="F128" t="s">
        <v>34</v>
      </c>
      <c r="G128">
        <v>1</v>
      </c>
      <c r="H128">
        <v>348.40159999999997</v>
      </c>
      <c r="I128" t="s">
        <v>50</v>
      </c>
      <c r="J128" s="1">
        <v>44592</v>
      </c>
      <c r="K128">
        <v>43.473545214901499</v>
      </c>
      <c r="L128" s="1">
        <v>44610</v>
      </c>
      <c r="M128" s="1">
        <v>44616</v>
      </c>
      <c r="N128">
        <v>304.31481650431101</v>
      </c>
      <c r="O128">
        <v>6</v>
      </c>
      <c r="P128" t="str">
        <f>IF(Table1[[#This Row],[Delivery Delay]]&gt;0,"Late","On Time")</f>
        <v>Late</v>
      </c>
      <c r="Q128">
        <v>43.47354521490157</v>
      </c>
      <c r="R128">
        <v>0.38003511490882685</v>
      </c>
      <c r="S128">
        <v>3.2860706931298355E-3</v>
      </c>
      <c r="T128">
        <v>0.9</v>
      </c>
      <c r="U128">
        <v>0</v>
      </c>
      <c r="V128">
        <v>34.699284418970436</v>
      </c>
    </row>
    <row r="129" spans="1:22" x14ac:dyDescent="0.35">
      <c r="A129" t="s">
        <v>101</v>
      </c>
      <c r="B129" t="s">
        <v>10</v>
      </c>
      <c r="C129" t="s">
        <v>11</v>
      </c>
      <c r="D129">
        <v>0.64</v>
      </c>
      <c r="E129" t="s">
        <v>35</v>
      </c>
      <c r="F129" t="s">
        <v>34</v>
      </c>
      <c r="G129">
        <v>1</v>
      </c>
      <c r="H129">
        <v>437.93299999999999</v>
      </c>
      <c r="I129" t="s">
        <v>49</v>
      </c>
      <c r="J129" s="1">
        <v>44477</v>
      </c>
      <c r="K129">
        <v>10.554327408904101</v>
      </c>
      <c r="L129" s="1">
        <v>44492</v>
      </c>
      <c r="M129" s="1">
        <v>44497</v>
      </c>
      <c r="N129">
        <v>94.988946680137502</v>
      </c>
      <c r="O129">
        <v>5</v>
      </c>
      <c r="P129" t="str">
        <f>IF(Table1[[#This Row],[Delivery Delay]]&gt;0,"Late","On Time")</f>
        <v>Late</v>
      </c>
      <c r="Q129">
        <v>10.554327408904166</v>
      </c>
      <c r="R129">
        <v>0.83196645788332824</v>
      </c>
      <c r="S129">
        <v>1.0527540676573301E-2</v>
      </c>
      <c r="T129">
        <v>0.64</v>
      </c>
      <c r="U129">
        <v>0</v>
      </c>
      <c r="V129">
        <v>36.155155377963766</v>
      </c>
    </row>
    <row r="130" spans="1:22" x14ac:dyDescent="0.35">
      <c r="A130" t="s">
        <v>102</v>
      </c>
      <c r="B130" t="s">
        <v>6</v>
      </c>
      <c r="C130" t="s">
        <v>5</v>
      </c>
      <c r="D130">
        <v>0.63</v>
      </c>
      <c r="E130" t="s">
        <v>36</v>
      </c>
      <c r="F130" t="s">
        <v>34</v>
      </c>
      <c r="G130">
        <v>1</v>
      </c>
      <c r="H130">
        <v>155.72819999999999</v>
      </c>
      <c r="I130" t="s">
        <v>49</v>
      </c>
      <c r="J130" s="1">
        <v>45385</v>
      </c>
      <c r="K130">
        <v>48.124027527779603</v>
      </c>
      <c r="L130" s="1">
        <v>45405</v>
      </c>
      <c r="M130" s="1">
        <v>45402</v>
      </c>
      <c r="N130">
        <v>529.36430280557602</v>
      </c>
      <c r="O130">
        <v>-3</v>
      </c>
      <c r="P130" t="str">
        <f>IF(Table1[[#This Row],[Delivery Delay]]&gt;0,"Late","On Time")</f>
        <v>On Time</v>
      </c>
      <c r="Q130">
        <v>48.124027527779639</v>
      </c>
      <c r="R130">
        <v>0.42196108906400126</v>
      </c>
      <c r="S130">
        <v>1.8890582434442661E-3</v>
      </c>
      <c r="T130">
        <v>0.63</v>
      </c>
      <c r="U130">
        <v>0</v>
      </c>
      <c r="V130">
        <v>27.395893528583354</v>
      </c>
    </row>
    <row r="131" spans="1:22" x14ac:dyDescent="0.35">
      <c r="A131" t="s">
        <v>99</v>
      </c>
      <c r="B131" t="s">
        <v>8</v>
      </c>
      <c r="C131" t="s">
        <v>9</v>
      </c>
      <c r="D131">
        <v>0.88</v>
      </c>
      <c r="E131" t="s">
        <v>36</v>
      </c>
      <c r="F131" t="s">
        <v>34</v>
      </c>
      <c r="G131">
        <v>1</v>
      </c>
      <c r="H131">
        <v>829.00159999999903</v>
      </c>
      <c r="I131" t="s">
        <v>51</v>
      </c>
      <c r="J131" s="1">
        <v>45289</v>
      </c>
      <c r="K131">
        <v>46.078050505753602</v>
      </c>
      <c r="L131" s="1">
        <v>45299</v>
      </c>
      <c r="M131" s="1">
        <v>45299</v>
      </c>
      <c r="N131">
        <v>368.62440404602899</v>
      </c>
      <c r="O131">
        <v>0</v>
      </c>
      <c r="P131" t="str">
        <f>IF(Table1[[#This Row],[Delivery Delay]]&gt;0,"Late","On Time")</f>
        <v>On Time</v>
      </c>
      <c r="Q131">
        <v>46.078050505753623</v>
      </c>
      <c r="R131">
        <v>0.4469200207706911</v>
      </c>
      <c r="S131">
        <v>2.7127883803241986E-3</v>
      </c>
      <c r="T131">
        <v>0.88</v>
      </c>
      <c r="U131">
        <v>0</v>
      </c>
      <c r="V131">
        <v>35.419784066823553</v>
      </c>
    </row>
    <row r="132" spans="1:22" x14ac:dyDescent="0.35">
      <c r="A132" t="s">
        <v>103</v>
      </c>
      <c r="B132" t="s">
        <v>4</v>
      </c>
      <c r="C132" t="s">
        <v>5</v>
      </c>
      <c r="D132">
        <v>0.79</v>
      </c>
      <c r="E132" t="s">
        <v>37</v>
      </c>
      <c r="F132" t="s">
        <v>34</v>
      </c>
      <c r="G132">
        <v>1</v>
      </c>
      <c r="H132">
        <v>-21.579499999999999</v>
      </c>
      <c r="I132" t="s">
        <v>49</v>
      </c>
      <c r="J132" s="1">
        <v>45005</v>
      </c>
      <c r="K132">
        <v>59.780950518175601</v>
      </c>
      <c r="L132" s="1">
        <v>45019</v>
      </c>
      <c r="M132" s="1">
        <v>45018</v>
      </c>
      <c r="N132">
        <v>657.59045569993202</v>
      </c>
      <c r="O132">
        <v>-1</v>
      </c>
      <c r="P132" t="str">
        <f>IF(Table1[[#This Row],[Delivery Delay]]&gt;0,"Late","On Time")</f>
        <v>On Time</v>
      </c>
      <c r="Q132">
        <v>59.780950518175636</v>
      </c>
      <c r="R132">
        <v>0</v>
      </c>
      <c r="S132">
        <v>1.5207033364491446E-3</v>
      </c>
      <c r="T132">
        <v>0.79</v>
      </c>
      <c r="U132">
        <v>0</v>
      </c>
      <c r="V132">
        <v>23.745621100093473</v>
      </c>
    </row>
    <row r="133" spans="1:22" x14ac:dyDescent="0.35">
      <c r="A133" t="s">
        <v>104</v>
      </c>
      <c r="B133" t="s">
        <v>14</v>
      </c>
      <c r="C133" t="s">
        <v>7</v>
      </c>
      <c r="D133">
        <v>0.87</v>
      </c>
      <c r="E133" t="s">
        <v>37</v>
      </c>
      <c r="F133" t="s">
        <v>34</v>
      </c>
      <c r="G133">
        <v>1</v>
      </c>
      <c r="H133">
        <v>372.92839999999899</v>
      </c>
      <c r="I133" t="s">
        <v>49</v>
      </c>
      <c r="J133" s="1">
        <v>45186</v>
      </c>
      <c r="K133">
        <v>36.457850238253599</v>
      </c>
      <c r="L133" s="1">
        <v>45207</v>
      </c>
      <c r="M133" s="1">
        <v>45211</v>
      </c>
      <c r="N133">
        <v>546.86775357380395</v>
      </c>
      <c r="O133">
        <v>4</v>
      </c>
      <c r="P133" t="str">
        <f>IF(Table1[[#This Row],[Delivery Delay]]&gt;0,"Late","On Time")</f>
        <v>Late</v>
      </c>
      <c r="Q133">
        <v>36.457850238253599</v>
      </c>
      <c r="R133">
        <v>0.62768990676089476</v>
      </c>
      <c r="S133">
        <v>1.8285956585755104E-3</v>
      </c>
      <c r="T133">
        <v>0.87</v>
      </c>
      <c r="U133">
        <v>0</v>
      </c>
      <c r="V133">
        <v>38.708656004975161</v>
      </c>
    </row>
    <row r="134" spans="1:22" x14ac:dyDescent="0.35">
      <c r="A134" t="s">
        <v>105</v>
      </c>
      <c r="B134" t="s">
        <v>4</v>
      </c>
      <c r="C134" t="s">
        <v>7</v>
      </c>
      <c r="D134">
        <v>0.77</v>
      </c>
      <c r="E134" t="s">
        <v>35</v>
      </c>
      <c r="F134" t="s">
        <v>34</v>
      </c>
      <c r="G134">
        <v>1</v>
      </c>
      <c r="H134">
        <v>257.20150000000001</v>
      </c>
      <c r="I134" t="s">
        <v>51</v>
      </c>
      <c r="J134" s="1">
        <v>45186</v>
      </c>
      <c r="K134">
        <v>42.275857428671998</v>
      </c>
      <c r="L134" s="1">
        <v>45204</v>
      </c>
      <c r="M134" s="1">
        <v>45201</v>
      </c>
      <c r="N134">
        <v>465.03443171539197</v>
      </c>
      <c r="O134">
        <v>-3</v>
      </c>
      <c r="P134" t="str">
        <f>IF(Table1[[#This Row],[Delivery Delay]]&gt;0,"Late","On Time")</f>
        <v>On Time</v>
      </c>
      <c r="Q134">
        <v>42.275857428671998</v>
      </c>
      <c r="R134">
        <v>0.22005575797087873</v>
      </c>
      <c r="S134">
        <v>2.1503784059843873E-3</v>
      </c>
      <c r="T134">
        <v>0.77</v>
      </c>
      <c r="U134">
        <v>0</v>
      </c>
      <c r="V134">
        <v>27.565626511597102</v>
      </c>
    </row>
    <row r="135" spans="1:22" x14ac:dyDescent="0.35">
      <c r="A135" t="s">
        <v>106</v>
      </c>
      <c r="B135" t="s">
        <v>15</v>
      </c>
      <c r="C135" t="s">
        <v>9</v>
      </c>
      <c r="D135">
        <v>0.7</v>
      </c>
      <c r="E135" t="s">
        <v>35</v>
      </c>
      <c r="F135" t="s">
        <v>34</v>
      </c>
      <c r="G135">
        <v>1</v>
      </c>
      <c r="H135">
        <v>138.47399999999999</v>
      </c>
      <c r="I135" t="s">
        <v>49</v>
      </c>
      <c r="J135" s="1">
        <v>44740</v>
      </c>
      <c r="K135">
        <v>27.850782436200799</v>
      </c>
      <c r="L135" s="1">
        <v>44762</v>
      </c>
      <c r="M135" s="1">
        <v>44766</v>
      </c>
      <c r="N135">
        <v>334.20938923441003</v>
      </c>
      <c r="O135">
        <v>4</v>
      </c>
      <c r="P135" t="str">
        <f>IF(Table1[[#This Row],[Delivery Delay]]&gt;0,"Late","On Time")</f>
        <v>Late</v>
      </c>
      <c r="Q135">
        <v>27.850782436200834</v>
      </c>
      <c r="R135">
        <v>0.21620887356666413</v>
      </c>
      <c r="S135">
        <v>2.9921361643691384E-3</v>
      </c>
      <c r="T135">
        <v>0.7</v>
      </c>
      <c r="U135">
        <v>0</v>
      </c>
      <c r="V135">
        <v>25.413941556264358</v>
      </c>
    </row>
    <row r="136" spans="1:22" x14ac:dyDescent="0.35">
      <c r="A136" t="s">
        <v>108</v>
      </c>
      <c r="B136" t="s">
        <v>12</v>
      </c>
      <c r="C136" t="s">
        <v>9</v>
      </c>
      <c r="D136">
        <v>0.92</v>
      </c>
      <c r="E136" t="s">
        <v>35</v>
      </c>
      <c r="F136" t="s">
        <v>34</v>
      </c>
      <c r="G136">
        <v>1</v>
      </c>
      <c r="H136">
        <v>300.73799999999898</v>
      </c>
      <c r="I136" t="s">
        <v>45</v>
      </c>
      <c r="J136" s="1">
        <v>45324</v>
      </c>
      <c r="K136">
        <v>25.292413786323898</v>
      </c>
      <c r="L136" s="1">
        <v>45340</v>
      </c>
      <c r="M136" s="1">
        <v>45341</v>
      </c>
      <c r="N136">
        <v>252.924137863239</v>
      </c>
      <c r="O136">
        <v>1</v>
      </c>
      <c r="P136" t="str">
        <f>IF(Table1[[#This Row],[Delivery Delay]]&gt;0,"Late","On Time")</f>
        <v>Late</v>
      </c>
      <c r="Q136">
        <v>25.292413786323898</v>
      </c>
      <c r="R136">
        <v>0.65970412487825347</v>
      </c>
      <c r="S136">
        <v>3.9537547046645249E-3</v>
      </c>
      <c r="T136">
        <v>0.92</v>
      </c>
      <c r="U136">
        <v>0</v>
      </c>
      <c r="V136">
        <v>40.912695138705011</v>
      </c>
    </row>
    <row r="137" spans="1:22" x14ac:dyDescent="0.35">
      <c r="A137" t="s">
        <v>107</v>
      </c>
      <c r="B137" t="s">
        <v>10</v>
      </c>
      <c r="C137" t="s">
        <v>5</v>
      </c>
      <c r="D137">
        <v>0.91</v>
      </c>
      <c r="E137" t="s">
        <v>35</v>
      </c>
      <c r="F137" t="s">
        <v>34</v>
      </c>
      <c r="G137">
        <v>1</v>
      </c>
      <c r="H137">
        <v>22.942399999999999</v>
      </c>
      <c r="I137" t="s">
        <v>46</v>
      </c>
      <c r="J137" s="1">
        <v>45070</v>
      </c>
      <c r="K137">
        <v>12.512330918187301</v>
      </c>
      <c r="L137" s="1">
        <v>45087</v>
      </c>
      <c r="M137" s="1">
        <v>45088</v>
      </c>
      <c r="N137">
        <v>150.14797101824701</v>
      </c>
      <c r="O137">
        <v>1</v>
      </c>
      <c r="P137" t="str">
        <f>IF(Table1[[#This Row],[Delivery Delay]]&gt;0,"Late","On Time")</f>
        <v>Late</v>
      </c>
      <c r="Q137">
        <v>12.512330918187251</v>
      </c>
      <c r="R137">
        <v>0.41069485020335678</v>
      </c>
      <c r="S137">
        <v>6.660096658105844E-3</v>
      </c>
      <c r="T137">
        <v>0.91</v>
      </c>
      <c r="U137">
        <v>0</v>
      </c>
      <c r="V137">
        <v>35.713699903810316</v>
      </c>
    </row>
    <row r="138" spans="1:22" x14ac:dyDescent="0.35">
      <c r="A138" t="s">
        <v>100</v>
      </c>
      <c r="B138" t="s">
        <v>12</v>
      </c>
      <c r="C138" t="s">
        <v>11</v>
      </c>
      <c r="D138">
        <v>0.87</v>
      </c>
      <c r="E138" t="s">
        <v>37</v>
      </c>
      <c r="F138" t="s">
        <v>34</v>
      </c>
      <c r="G138">
        <v>1</v>
      </c>
      <c r="H138">
        <v>668.4</v>
      </c>
      <c r="I138" t="s">
        <v>50</v>
      </c>
      <c r="J138" s="1">
        <v>44494</v>
      </c>
      <c r="K138">
        <v>53.888898767440899</v>
      </c>
      <c r="L138" s="1">
        <v>44516</v>
      </c>
      <c r="M138" s="1">
        <v>44515</v>
      </c>
      <c r="N138">
        <v>700.55568397673198</v>
      </c>
      <c r="O138">
        <v>-1</v>
      </c>
      <c r="P138" t="str">
        <f>IF(Table1[[#This Row],[Delivery Delay]]&gt;0,"Late","On Time")</f>
        <v>On Time</v>
      </c>
      <c r="Q138">
        <v>53.888898767440921</v>
      </c>
      <c r="R138">
        <v>0.833458027831812</v>
      </c>
      <c r="S138">
        <v>1.4274382791721288E-3</v>
      </c>
      <c r="T138">
        <v>0.87</v>
      </c>
      <c r="U138">
        <v>0</v>
      </c>
      <c r="V138">
        <v>42.811983705011407</v>
      </c>
    </row>
    <row r="139" spans="1:22" x14ac:dyDescent="0.35">
      <c r="A139" t="s">
        <v>101</v>
      </c>
      <c r="B139" t="s">
        <v>14</v>
      </c>
      <c r="C139" t="s">
        <v>7</v>
      </c>
      <c r="D139">
        <v>0.71</v>
      </c>
      <c r="E139" t="s">
        <v>37</v>
      </c>
      <c r="F139" t="s">
        <v>34</v>
      </c>
      <c r="G139">
        <v>1</v>
      </c>
      <c r="H139">
        <v>222.27119999999999</v>
      </c>
      <c r="I139" t="s">
        <v>46</v>
      </c>
      <c r="J139" s="1">
        <v>44590</v>
      </c>
      <c r="K139">
        <v>6.7827651956306303</v>
      </c>
      <c r="L139" s="1">
        <v>44602</v>
      </c>
      <c r="M139" s="1">
        <v>44599</v>
      </c>
      <c r="N139">
        <v>81.393182347567603</v>
      </c>
      <c r="O139">
        <v>-3</v>
      </c>
      <c r="P139" t="str">
        <f>IF(Table1[[#This Row],[Delivery Delay]]&gt;0,"Late","On Time")</f>
        <v>On Time</v>
      </c>
      <c r="Q139">
        <v>6.7827651956306338</v>
      </c>
      <c r="R139">
        <v>0.26779301291356067</v>
      </c>
      <c r="S139">
        <v>1.2286041301712102E-2</v>
      </c>
      <c r="T139">
        <v>0.71</v>
      </c>
      <c r="U139">
        <v>0</v>
      </c>
      <c r="V139">
        <v>27.024441497322577</v>
      </c>
    </row>
    <row r="140" spans="1:22" x14ac:dyDescent="0.35">
      <c r="A140" t="s">
        <v>102</v>
      </c>
      <c r="B140" t="s">
        <v>12</v>
      </c>
      <c r="C140" t="s">
        <v>7</v>
      </c>
      <c r="D140">
        <v>0.83</v>
      </c>
      <c r="E140" t="s">
        <v>37</v>
      </c>
      <c r="F140" t="s">
        <v>34</v>
      </c>
      <c r="G140">
        <v>1</v>
      </c>
      <c r="H140">
        <v>266.3768</v>
      </c>
      <c r="I140" t="s">
        <v>51</v>
      </c>
      <c r="J140" s="1">
        <v>44608</v>
      </c>
      <c r="K140">
        <v>50.651614456048002</v>
      </c>
      <c r="L140" s="1">
        <v>44632</v>
      </c>
      <c r="M140" s="1">
        <v>44638</v>
      </c>
      <c r="N140">
        <v>709.12260238467195</v>
      </c>
      <c r="O140">
        <v>6</v>
      </c>
      <c r="P140" t="str">
        <f>IF(Table1[[#This Row],[Delivery Delay]]&gt;0,"Late","On Time")</f>
        <v>Late</v>
      </c>
      <c r="Q140">
        <v>50.651614456047994</v>
      </c>
      <c r="R140">
        <v>0.51122411222730424</v>
      </c>
      <c r="S140">
        <v>1.4101933807174549E-3</v>
      </c>
      <c r="T140">
        <v>0.83</v>
      </c>
      <c r="U140">
        <v>0</v>
      </c>
      <c r="V140">
        <v>35.166788045967607</v>
      </c>
    </row>
    <row r="141" spans="1:22" x14ac:dyDescent="0.35">
      <c r="A141" t="s">
        <v>99</v>
      </c>
      <c r="B141" t="s">
        <v>12</v>
      </c>
      <c r="C141" t="s">
        <v>11</v>
      </c>
      <c r="D141">
        <v>0.74</v>
      </c>
      <c r="E141" t="s">
        <v>38</v>
      </c>
      <c r="F141" t="s">
        <v>34</v>
      </c>
      <c r="G141">
        <v>1</v>
      </c>
      <c r="H141">
        <v>466.92</v>
      </c>
      <c r="I141" t="s">
        <v>47</v>
      </c>
      <c r="J141" s="1">
        <v>44627</v>
      </c>
      <c r="K141">
        <v>11.402181504704499</v>
      </c>
      <c r="L141" s="1">
        <v>44647</v>
      </c>
      <c r="M141" s="1">
        <v>44652</v>
      </c>
      <c r="N141">
        <v>125.423996551749</v>
      </c>
      <c r="O141">
        <v>5</v>
      </c>
      <c r="P141" t="str">
        <f>IF(Table1[[#This Row],[Delivery Delay]]&gt;0,"Late","On Time")</f>
        <v>Late</v>
      </c>
      <c r="Q141">
        <v>11.402181504704455</v>
      </c>
      <c r="R141">
        <v>0.61064030131826741</v>
      </c>
      <c r="S141">
        <v>7.9729559533482687E-3</v>
      </c>
      <c r="T141">
        <v>0.74</v>
      </c>
      <c r="U141">
        <v>0</v>
      </c>
      <c r="V141">
        <v>34.651994704965801</v>
      </c>
    </row>
    <row r="142" spans="1:22" x14ac:dyDescent="0.35">
      <c r="A142" t="s">
        <v>103</v>
      </c>
      <c r="B142" t="s">
        <v>14</v>
      </c>
      <c r="C142" t="s">
        <v>5</v>
      </c>
      <c r="D142">
        <v>0.64</v>
      </c>
      <c r="E142" t="s">
        <v>37</v>
      </c>
      <c r="F142" t="s">
        <v>34</v>
      </c>
      <c r="G142">
        <v>1</v>
      </c>
      <c r="H142">
        <v>13.6999999999999</v>
      </c>
      <c r="I142" t="s">
        <v>50</v>
      </c>
      <c r="J142" s="1">
        <v>45211</v>
      </c>
      <c r="K142">
        <v>4.0331991677761998</v>
      </c>
      <c r="L142" s="1">
        <v>45224</v>
      </c>
      <c r="M142" s="1">
        <v>45224</v>
      </c>
      <c r="N142">
        <v>40.331991677761998</v>
      </c>
      <c r="O142">
        <v>0</v>
      </c>
      <c r="P142" t="str">
        <f>IF(Table1[[#This Row],[Delivery Delay]]&gt;0,"Late","On Time")</f>
        <v>On Time</v>
      </c>
      <c r="Q142">
        <v>4.0331991677761998</v>
      </c>
      <c r="R142">
        <v>3.0150974954883357E-2</v>
      </c>
      <c r="S142">
        <v>2.4794213189113935E-2</v>
      </c>
      <c r="T142">
        <v>0.64</v>
      </c>
      <c r="U142">
        <v>0</v>
      </c>
      <c r="V142">
        <v>20.546845894771089</v>
      </c>
    </row>
    <row r="143" spans="1:22" x14ac:dyDescent="0.35">
      <c r="A143" t="s">
        <v>104</v>
      </c>
      <c r="B143" t="s">
        <v>8</v>
      </c>
      <c r="C143" t="s">
        <v>5</v>
      </c>
      <c r="D143">
        <v>0.96</v>
      </c>
      <c r="E143" t="s">
        <v>37</v>
      </c>
      <c r="F143" t="s">
        <v>34</v>
      </c>
      <c r="G143">
        <v>1</v>
      </c>
      <c r="H143">
        <v>96.464399999999998</v>
      </c>
      <c r="I143" t="s">
        <v>51</v>
      </c>
      <c r="J143" s="1">
        <v>44271</v>
      </c>
      <c r="K143">
        <v>42.076542859214698</v>
      </c>
      <c r="L143" s="1">
        <v>44295</v>
      </c>
      <c r="M143" s="1">
        <v>44292</v>
      </c>
      <c r="N143">
        <v>420.76542859214698</v>
      </c>
      <c r="O143">
        <v>-3</v>
      </c>
      <c r="P143" t="str">
        <f>IF(Table1[[#This Row],[Delivery Delay]]&gt;0,"Late","On Time")</f>
        <v>On Time</v>
      </c>
      <c r="Q143">
        <v>42.076542859214698</v>
      </c>
      <c r="R143">
        <v>0.38172821684149544</v>
      </c>
      <c r="S143">
        <v>2.3766211101181323E-3</v>
      </c>
      <c r="T143">
        <v>0.96</v>
      </c>
      <c r="U143">
        <v>0</v>
      </c>
      <c r="V143">
        <v>36.50586297013345</v>
      </c>
    </row>
    <row r="144" spans="1:22" x14ac:dyDescent="0.35">
      <c r="A144" t="s">
        <v>105</v>
      </c>
      <c r="B144" t="s">
        <v>8</v>
      </c>
      <c r="C144" t="s">
        <v>9</v>
      </c>
      <c r="D144">
        <v>0.65</v>
      </c>
      <c r="E144" t="s">
        <v>35</v>
      </c>
      <c r="F144" t="s">
        <v>34</v>
      </c>
      <c r="G144">
        <v>1</v>
      </c>
      <c r="H144">
        <v>257.76479999999998</v>
      </c>
      <c r="I144" t="s">
        <v>47</v>
      </c>
      <c r="J144" s="1">
        <v>44233</v>
      </c>
      <c r="K144">
        <v>26.857518562174</v>
      </c>
      <c r="L144" s="1">
        <v>44251</v>
      </c>
      <c r="M144" s="1">
        <v>44253</v>
      </c>
      <c r="N144">
        <v>376.00525987043602</v>
      </c>
      <c r="O144">
        <v>2</v>
      </c>
      <c r="P144" t="str">
        <f>IF(Table1[[#This Row],[Delivery Delay]]&gt;0,"Late","On Time")</f>
        <v>Late</v>
      </c>
      <c r="Q144">
        <v>26.857518562174</v>
      </c>
      <c r="R144">
        <v>0.74069323181749214</v>
      </c>
      <c r="S144">
        <v>2.6595372637728001E-3</v>
      </c>
      <c r="T144">
        <v>0.65</v>
      </c>
      <c r="U144">
        <v>0</v>
      </c>
      <c r="V144">
        <v>34.393650754263028</v>
      </c>
    </row>
    <row r="145" spans="1:22" x14ac:dyDescent="0.35">
      <c r="A145" t="s">
        <v>106</v>
      </c>
      <c r="B145" t="s">
        <v>14</v>
      </c>
      <c r="C145" t="s">
        <v>9</v>
      </c>
      <c r="D145">
        <v>0.97</v>
      </c>
      <c r="E145" t="s">
        <v>38</v>
      </c>
      <c r="F145" t="s">
        <v>34</v>
      </c>
      <c r="G145">
        <v>1</v>
      </c>
      <c r="H145">
        <v>271.33800000000002</v>
      </c>
      <c r="I145" t="s">
        <v>46</v>
      </c>
      <c r="J145" s="1">
        <v>45363</v>
      </c>
      <c r="K145">
        <v>25.344073491689699</v>
      </c>
      <c r="L145" s="1">
        <v>45379</v>
      </c>
      <c r="M145" s="1">
        <v>45379</v>
      </c>
      <c r="N145">
        <v>202.75258793351699</v>
      </c>
      <c r="O145">
        <v>0</v>
      </c>
      <c r="P145" t="str">
        <f>IF(Table1[[#This Row],[Delivery Delay]]&gt;0,"Late","On Time")</f>
        <v>On Time</v>
      </c>
      <c r="Q145">
        <v>25.344073491689624</v>
      </c>
      <c r="R145">
        <v>0.42374183634268159</v>
      </c>
      <c r="S145">
        <v>4.9321195363873837E-3</v>
      </c>
      <c r="T145">
        <v>0.97</v>
      </c>
      <c r="U145">
        <v>0</v>
      </c>
      <c r="V145">
        <v>37.722800312945246</v>
      </c>
    </row>
    <row r="146" spans="1:22" x14ac:dyDescent="0.35">
      <c r="A146" t="s">
        <v>108</v>
      </c>
      <c r="B146" t="s">
        <v>10</v>
      </c>
      <c r="C146" t="s">
        <v>9</v>
      </c>
      <c r="D146">
        <v>0.77</v>
      </c>
      <c r="E146" t="s">
        <v>36</v>
      </c>
      <c r="F146" t="s">
        <v>34</v>
      </c>
      <c r="G146">
        <v>1</v>
      </c>
      <c r="H146">
        <v>106.834499999999</v>
      </c>
      <c r="I146" t="s">
        <v>51</v>
      </c>
      <c r="J146" s="1">
        <v>44975</v>
      </c>
      <c r="K146">
        <v>24.570572844703499</v>
      </c>
      <c r="L146" s="1">
        <v>44985</v>
      </c>
      <c r="M146" s="1">
        <v>44987</v>
      </c>
      <c r="N146">
        <v>221.135155602331</v>
      </c>
      <c r="O146">
        <v>2</v>
      </c>
      <c r="P146" t="str">
        <f>IF(Table1[[#This Row],[Delivery Delay]]&gt;0,"Late","On Time")</f>
        <v>Late</v>
      </c>
      <c r="Q146">
        <v>24.570572844703445</v>
      </c>
      <c r="R146">
        <v>0.15504731552171014</v>
      </c>
      <c r="S146">
        <v>4.5221213120825868E-3</v>
      </c>
      <c r="T146">
        <v>0.77</v>
      </c>
      <c r="U146">
        <v>0</v>
      </c>
      <c r="V146">
        <v>26.336609949796681</v>
      </c>
    </row>
    <row r="147" spans="1:22" x14ac:dyDescent="0.35">
      <c r="A147" t="s">
        <v>102</v>
      </c>
      <c r="B147" t="s">
        <v>15</v>
      </c>
      <c r="C147" t="s">
        <v>7</v>
      </c>
      <c r="D147">
        <v>0.67</v>
      </c>
      <c r="E147" t="s">
        <v>37</v>
      </c>
      <c r="F147" t="s">
        <v>34</v>
      </c>
      <c r="G147">
        <v>1</v>
      </c>
      <c r="H147">
        <v>498.762</v>
      </c>
      <c r="I147" t="s">
        <v>50</v>
      </c>
      <c r="J147" s="1">
        <v>45211</v>
      </c>
      <c r="K147">
        <v>39.978393041893597</v>
      </c>
      <c r="L147" s="1">
        <v>45231</v>
      </c>
      <c r="M147" s="1">
        <v>45233</v>
      </c>
      <c r="N147">
        <v>319.82714433514798</v>
      </c>
      <c r="O147">
        <v>2</v>
      </c>
      <c r="P147" t="str">
        <f>IF(Table1[[#This Row],[Delivery Delay]]&gt;0,"Late","On Time")</f>
        <v>Late</v>
      </c>
      <c r="Q147">
        <v>39.978393041893497</v>
      </c>
      <c r="R147">
        <v>0.30834371939820177</v>
      </c>
      <c r="S147">
        <v>3.1266889559320721E-3</v>
      </c>
      <c r="T147">
        <v>0.67</v>
      </c>
      <c r="U147">
        <v>0</v>
      </c>
      <c r="V147">
        <v>26.360675056642002</v>
      </c>
    </row>
    <row r="148" spans="1:22" x14ac:dyDescent="0.35">
      <c r="A148" t="s">
        <v>99</v>
      </c>
      <c r="B148" t="s">
        <v>13</v>
      </c>
      <c r="C148" t="s">
        <v>9</v>
      </c>
      <c r="D148">
        <v>0.81</v>
      </c>
      <c r="E148" t="s">
        <v>36</v>
      </c>
      <c r="F148" t="s">
        <v>39</v>
      </c>
      <c r="G148">
        <v>0</v>
      </c>
      <c r="H148">
        <v>16.464099999999998</v>
      </c>
      <c r="I148" t="s">
        <v>50</v>
      </c>
      <c r="J148" s="1">
        <v>44633</v>
      </c>
      <c r="K148">
        <v>21.251036846425901</v>
      </c>
      <c r="L148" s="1">
        <v>44645</v>
      </c>
      <c r="M148" s="1">
        <v>44650</v>
      </c>
      <c r="N148">
        <v>170.00829477140701</v>
      </c>
      <c r="O148">
        <v>5</v>
      </c>
      <c r="P148" t="str">
        <f>IF(Table1[[#This Row],[Delivery Delay]]&gt;0,"Late","On Time")</f>
        <v>Late</v>
      </c>
      <c r="Q148">
        <v>21.251036846425876</v>
      </c>
      <c r="R148">
        <v>0.19391407482088613</v>
      </c>
      <c r="S148">
        <v>5.882065938868448E-3</v>
      </c>
      <c r="T148">
        <v>0.81</v>
      </c>
      <c r="U148">
        <v>1</v>
      </c>
      <c r="V148">
        <v>48.354743474583778</v>
      </c>
    </row>
    <row r="149" spans="1:22" x14ac:dyDescent="0.35">
      <c r="A149" t="s">
        <v>103</v>
      </c>
      <c r="B149" t="s">
        <v>12</v>
      </c>
      <c r="C149" t="s">
        <v>5</v>
      </c>
      <c r="D149">
        <v>0.94</v>
      </c>
      <c r="E149" t="s">
        <v>36</v>
      </c>
      <c r="F149" t="s">
        <v>34</v>
      </c>
      <c r="G149">
        <v>1</v>
      </c>
      <c r="H149">
        <v>442.67839999999899</v>
      </c>
      <c r="I149" t="s">
        <v>48</v>
      </c>
      <c r="J149" s="1">
        <v>44943</v>
      </c>
      <c r="K149">
        <v>79.068555524821306</v>
      </c>
      <c r="L149" s="1">
        <v>44953</v>
      </c>
      <c r="M149" s="1">
        <v>44955</v>
      </c>
      <c r="N149">
        <v>1027.8912218226701</v>
      </c>
      <c r="O149">
        <v>2</v>
      </c>
      <c r="P149" t="str">
        <f>IF(Table1[[#This Row],[Delivery Delay]]&gt;0,"Late","On Time")</f>
        <v>Late</v>
      </c>
      <c r="Q149">
        <v>79.068555524820781</v>
      </c>
      <c r="R149">
        <v>0.37096419530613345</v>
      </c>
      <c r="S149">
        <v>9.7286559002497067E-4</v>
      </c>
      <c r="T149">
        <v>0.94</v>
      </c>
      <c r="U149">
        <v>0</v>
      </c>
      <c r="V149">
        <v>35.648469873823416</v>
      </c>
    </row>
    <row r="150" spans="1:22" x14ac:dyDescent="0.35">
      <c r="A150" t="s">
        <v>104</v>
      </c>
      <c r="B150" t="s">
        <v>10</v>
      </c>
      <c r="C150" t="s">
        <v>11</v>
      </c>
      <c r="D150">
        <v>0.89</v>
      </c>
      <c r="E150" t="s">
        <v>35</v>
      </c>
      <c r="F150" t="s">
        <v>39</v>
      </c>
      <c r="G150">
        <v>0</v>
      </c>
      <c r="H150">
        <v>639.545199999999</v>
      </c>
      <c r="I150" t="s">
        <v>45</v>
      </c>
      <c r="J150" s="1">
        <v>44937</v>
      </c>
      <c r="K150">
        <v>59.902305245070899</v>
      </c>
      <c r="L150" s="1">
        <v>44952</v>
      </c>
      <c r="M150" s="1">
        <v>44958</v>
      </c>
      <c r="N150">
        <v>838.632273430993</v>
      </c>
      <c r="O150">
        <v>6</v>
      </c>
      <c r="P150" t="str">
        <f>IF(Table1[[#This Row],[Delivery Delay]]&gt;0,"Late","On Time")</f>
        <v>Late</v>
      </c>
      <c r="Q150">
        <v>59.902305245070927</v>
      </c>
      <c r="R150">
        <v>0.42361976616517022</v>
      </c>
      <c r="S150">
        <v>1.1924177397905557E-3</v>
      </c>
      <c r="T150">
        <v>0.89</v>
      </c>
      <c r="U150">
        <v>1</v>
      </c>
      <c r="V150">
        <v>55.208167855497123</v>
      </c>
    </row>
    <row r="151" spans="1:22" x14ac:dyDescent="0.35">
      <c r="A151" t="s">
        <v>105</v>
      </c>
      <c r="B151" t="s">
        <v>12</v>
      </c>
      <c r="C151" t="s">
        <v>5</v>
      </c>
      <c r="D151">
        <v>0.91</v>
      </c>
      <c r="E151" t="s">
        <v>37</v>
      </c>
      <c r="F151" t="s">
        <v>34</v>
      </c>
      <c r="G151">
        <v>1</v>
      </c>
      <c r="H151">
        <v>200.72640000000001</v>
      </c>
      <c r="I151" t="s">
        <v>49</v>
      </c>
      <c r="J151" s="1">
        <v>44382</v>
      </c>
      <c r="K151">
        <v>54.397913471026001</v>
      </c>
      <c r="L151" s="1">
        <v>44400</v>
      </c>
      <c r="M151" s="1">
        <v>44398</v>
      </c>
      <c r="N151">
        <v>707.17287512333803</v>
      </c>
      <c r="O151">
        <v>-2</v>
      </c>
      <c r="P151" t="str">
        <f>IF(Table1[[#This Row],[Delivery Delay]]&gt;0,"Late","On Time")</f>
        <v>On Time</v>
      </c>
      <c r="Q151">
        <v>54.397913471026001</v>
      </c>
      <c r="R151">
        <v>0.37116128803209431</v>
      </c>
      <c r="S151">
        <v>1.4140813868540843E-3</v>
      </c>
      <c r="T151">
        <v>0.91</v>
      </c>
      <c r="U151">
        <v>0</v>
      </c>
      <c r="V151">
        <v>34.765648202247512</v>
      </c>
    </row>
    <row r="152" spans="1:22" x14ac:dyDescent="0.35">
      <c r="A152" t="s">
        <v>106</v>
      </c>
      <c r="B152" t="s">
        <v>13</v>
      </c>
      <c r="C152" t="s">
        <v>7</v>
      </c>
      <c r="D152">
        <v>0.86</v>
      </c>
      <c r="E152" t="s">
        <v>37</v>
      </c>
      <c r="F152" t="s">
        <v>39</v>
      </c>
      <c r="G152">
        <v>0</v>
      </c>
      <c r="H152">
        <v>559.99999999999898</v>
      </c>
      <c r="I152" t="s">
        <v>47</v>
      </c>
      <c r="J152" s="1">
        <v>45330</v>
      </c>
      <c r="K152">
        <v>28.456517276557399</v>
      </c>
      <c r="L152" s="1">
        <v>45343</v>
      </c>
      <c r="M152" s="1">
        <v>45343</v>
      </c>
      <c r="N152">
        <v>341.47820731868899</v>
      </c>
      <c r="O152">
        <v>0</v>
      </c>
      <c r="P152" t="str">
        <f>IF(Table1[[#This Row],[Delivery Delay]]&gt;0,"Late","On Time")</f>
        <v>On Time</v>
      </c>
      <c r="Q152">
        <v>28.456517276557417</v>
      </c>
      <c r="R152">
        <v>0.5591891756952464</v>
      </c>
      <c r="S152">
        <v>2.9284445641555596E-3</v>
      </c>
      <c r="T152">
        <v>0.86</v>
      </c>
      <c r="U152">
        <v>1</v>
      </c>
      <c r="V152">
        <v>57.071636850829591</v>
      </c>
    </row>
    <row r="153" spans="1:22" x14ac:dyDescent="0.35">
      <c r="A153" t="s">
        <v>108</v>
      </c>
      <c r="B153" t="s">
        <v>15</v>
      </c>
      <c r="C153" t="s">
        <v>5</v>
      </c>
      <c r="D153">
        <v>0.87</v>
      </c>
      <c r="E153" t="s">
        <v>37</v>
      </c>
      <c r="F153" t="s">
        <v>34</v>
      </c>
      <c r="G153">
        <v>1</v>
      </c>
      <c r="H153">
        <v>48.9209999999999</v>
      </c>
      <c r="I153" t="s">
        <v>48</v>
      </c>
      <c r="J153" s="1">
        <v>44719</v>
      </c>
      <c r="K153">
        <v>75.086877382308899</v>
      </c>
      <c r="L153" s="1">
        <v>44735</v>
      </c>
      <c r="M153" s="1">
        <v>44737</v>
      </c>
      <c r="N153">
        <v>600.69501905847096</v>
      </c>
      <c r="O153">
        <v>2</v>
      </c>
      <c r="P153" t="str">
        <f>IF(Table1[[#This Row],[Delivery Delay]]&gt;0,"Late","On Time")</f>
        <v>Late</v>
      </c>
      <c r="Q153">
        <v>75.08687738230887</v>
      </c>
      <c r="R153">
        <v>0.12137067663017191</v>
      </c>
      <c r="S153">
        <v>1.6647382919329004E-3</v>
      </c>
      <c r="T153">
        <v>0.87</v>
      </c>
      <c r="U153">
        <v>0</v>
      </c>
      <c r="V153">
        <v>28.577355681361428</v>
      </c>
    </row>
    <row r="154" spans="1:22" x14ac:dyDescent="0.35">
      <c r="A154" t="s">
        <v>107</v>
      </c>
      <c r="B154" t="s">
        <v>8</v>
      </c>
      <c r="C154" t="s">
        <v>9</v>
      </c>
      <c r="D154">
        <v>0.93</v>
      </c>
      <c r="E154" t="s">
        <v>37</v>
      </c>
      <c r="F154" t="s">
        <v>39</v>
      </c>
      <c r="G154">
        <v>0</v>
      </c>
      <c r="H154">
        <v>231.36179999999999</v>
      </c>
      <c r="I154" t="s">
        <v>49</v>
      </c>
      <c r="J154" s="1">
        <v>44432</v>
      </c>
      <c r="K154">
        <v>71.215900409226904</v>
      </c>
      <c r="L154" s="1">
        <v>44447</v>
      </c>
      <c r="M154" s="1">
        <v>44451</v>
      </c>
      <c r="N154">
        <v>854.59080491072302</v>
      </c>
      <c r="O154">
        <v>4</v>
      </c>
      <c r="P154" t="str">
        <f>IF(Table1[[#This Row],[Delivery Delay]]&gt;0,"Late","On Time")</f>
        <v>Late</v>
      </c>
      <c r="Q154">
        <v>71.215900409226919</v>
      </c>
      <c r="R154">
        <v>0.95006607211346161</v>
      </c>
      <c r="S154">
        <v>1.1701506665572742E-3</v>
      </c>
      <c r="T154">
        <v>0.93</v>
      </c>
      <c r="U154">
        <v>1</v>
      </c>
      <c r="V154">
        <v>66.936425962265972</v>
      </c>
    </row>
    <row r="155" spans="1:22" x14ac:dyDescent="0.35">
      <c r="A155" t="s">
        <v>100</v>
      </c>
      <c r="B155" t="s">
        <v>10</v>
      </c>
      <c r="C155" t="s">
        <v>7</v>
      </c>
      <c r="D155">
        <v>0.7</v>
      </c>
      <c r="E155" t="s">
        <v>38</v>
      </c>
      <c r="F155" t="s">
        <v>34</v>
      </c>
      <c r="G155">
        <v>1</v>
      </c>
      <c r="H155">
        <v>246.795999999999</v>
      </c>
      <c r="I155" t="s">
        <v>49</v>
      </c>
      <c r="J155" s="1">
        <v>45366</v>
      </c>
      <c r="K155">
        <v>31.6864013368969</v>
      </c>
      <c r="L155" s="1">
        <v>45389</v>
      </c>
      <c r="M155" s="1">
        <v>45391</v>
      </c>
      <c r="N155">
        <v>190.11840802138099</v>
      </c>
      <c r="O155">
        <v>2</v>
      </c>
      <c r="P155" t="str">
        <f>IF(Table1[[#This Row],[Delivery Delay]]&gt;0,"Late","On Time")</f>
        <v>Late</v>
      </c>
      <c r="Q155">
        <v>31.686401336896832</v>
      </c>
      <c r="R155">
        <v>0.21466196281451708</v>
      </c>
      <c r="S155">
        <v>5.2598799369682212E-3</v>
      </c>
      <c r="T155">
        <v>0.7</v>
      </c>
      <c r="U155">
        <v>0</v>
      </c>
      <c r="V155">
        <v>25.451035654399391</v>
      </c>
    </row>
    <row r="156" spans="1:22" x14ac:dyDescent="0.35">
      <c r="A156" t="s">
        <v>101</v>
      </c>
      <c r="B156" t="s">
        <v>6</v>
      </c>
      <c r="C156" t="s">
        <v>11</v>
      </c>
      <c r="D156">
        <v>0.79</v>
      </c>
      <c r="E156" t="s">
        <v>37</v>
      </c>
      <c r="F156" t="s">
        <v>34</v>
      </c>
      <c r="G156">
        <v>1</v>
      </c>
      <c r="H156">
        <v>585.77919999999995</v>
      </c>
      <c r="I156" t="s">
        <v>51</v>
      </c>
      <c r="J156" s="1">
        <v>44224</v>
      </c>
      <c r="K156">
        <v>5.4271613118450404</v>
      </c>
      <c r="L156" s="1">
        <v>44234</v>
      </c>
      <c r="M156" s="1">
        <v>44234</v>
      </c>
      <c r="N156">
        <v>48.844451806605399</v>
      </c>
      <c r="O156">
        <v>0</v>
      </c>
      <c r="P156" t="str">
        <f>IF(Table1[[#This Row],[Delivery Delay]]&gt;0,"Late","On Time")</f>
        <v>On Time</v>
      </c>
      <c r="Q156">
        <v>5.4271613118450439</v>
      </c>
      <c r="R156">
        <v>0.33225157725843807</v>
      </c>
      <c r="S156">
        <v>2.047315432998199E-2</v>
      </c>
      <c r="T156">
        <v>0.79</v>
      </c>
      <c r="U156">
        <v>0</v>
      </c>
      <c r="V156">
        <v>30.95922617506822</v>
      </c>
    </row>
    <row r="157" spans="1:22" x14ac:dyDescent="0.35">
      <c r="A157" t="s">
        <v>102</v>
      </c>
      <c r="B157" t="s">
        <v>6</v>
      </c>
      <c r="C157" t="s">
        <v>9</v>
      </c>
      <c r="D157">
        <v>0.69</v>
      </c>
      <c r="E157" t="s">
        <v>36</v>
      </c>
      <c r="F157" t="s">
        <v>34</v>
      </c>
      <c r="G157">
        <v>1</v>
      </c>
      <c r="H157">
        <v>591.19200000000001</v>
      </c>
      <c r="I157" t="s">
        <v>49</v>
      </c>
      <c r="J157" s="1">
        <v>45169</v>
      </c>
      <c r="K157">
        <v>47.215328809881598</v>
      </c>
      <c r="L157" s="1">
        <v>45191</v>
      </c>
      <c r="M157" s="1">
        <v>45197</v>
      </c>
      <c r="N157">
        <v>424.937959288934</v>
      </c>
      <c r="O157">
        <v>6</v>
      </c>
      <c r="P157" t="str">
        <f>IF(Table1[[#This Row],[Delivery Delay]]&gt;0,"Late","On Time")</f>
        <v>Late</v>
      </c>
      <c r="Q157">
        <v>47.215328809881555</v>
      </c>
      <c r="R157">
        <v>0.42428261393778632</v>
      </c>
      <c r="S157">
        <v>2.3532847046033277E-3</v>
      </c>
      <c r="T157">
        <v>0.69</v>
      </c>
      <c r="U157">
        <v>0</v>
      </c>
      <c r="V157">
        <v>29.256250819893825</v>
      </c>
    </row>
    <row r="158" spans="1:22" x14ac:dyDescent="0.35">
      <c r="A158" t="s">
        <v>99</v>
      </c>
      <c r="B158" t="s">
        <v>13</v>
      </c>
      <c r="C158" t="s">
        <v>7</v>
      </c>
      <c r="D158">
        <v>0.99</v>
      </c>
      <c r="E158" t="s">
        <v>35</v>
      </c>
      <c r="F158" t="s">
        <v>34</v>
      </c>
      <c r="G158">
        <v>1</v>
      </c>
      <c r="H158">
        <v>358.98239999999998</v>
      </c>
      <c r="I158" t="s">
        <v>45</v>
      </c>
      <c r="J158" s="1">
        <v>45365</v>
      </c>
      <c r="K158">
        <v>30.043404107047401</v>
      </c>
      <c r="L158" s="1">
        <v>45377</v>
      </c>
      <c r="M158" s="1">
        <v>45377</v>
      </c>
      <c r="N158">
        <v>420.60765749866403</v>
      </c>
      <c r="O158">
        <v>0</v>
      </c>
      <c r="P158" t="str">
        <f>IF(Table1[[#This Row],[Delivery Delay]]&gt;0,"Late","On Time")</f>
        <v>On Time</v>
      </c>
      <c r="Q158">
        <v>30.043404107047429</v>
      </c>
      <c r="R158">
        <v>0.82195454345627994</v>
      </c>
      <c r="S158">
        <v>2.3775125872575829E-3</v>
      </c>
      <c r="T158">
        <v>0.99</v>
      </c>
      <c r="U158">
        <v>0</v>
      </c>
      <c r="V158">
        <v>46.210416246743321</v>
      </c>
    </row>
    <row r="159" spans="1:22" x14ac:dyDescent="0.35">
      <c r="A159" t="s">
        <v>103</v>
      </c>
      <c r="B159" t="s">
        <v>6</v>
      </c>
      <c r="C159" t="s">
        <v>11</v>
      </c>
      <c r="D159">
        <v>0.97</v>
      </c>
      <c r="E159" t="s">
        <v>37</v>
      </c>
      <c r="F159" t="s">
        <v>39</v>
      </c>
      <c r="G159">
        <v>0</v>
      </c>
      <c r="H159">
        <v>-1.2252000000000201</v>
      </c>
      <c r="I159" t="s">
        <v>50</v>
      </c>
      <c r="J159" s="1">
        <v>44222</v>
      </c>
      <c r="K159">
        <v>52.861279343795601</v>
      </c>
      <c r="L159" s="1">
        <v>44234</v>
      </c>
      <c r="M159" s="1">
        <v>44234</v>
      </c>
      <c r="N159">
        <v>581.47407278175103</v>
      </c>
      <c r="O159">
        <v>0</v>
      </c>
      <c r="P159" t="str">
        <f>IF(Table1[[#This Row],[Delivery Delay]]&gt;0,"Late","On Time")</f>
        <v>On Time</v>
      </c>
      <c r="Q159">
        <v>52.861279343795552</v>
      </c>
      <c r="R159">
        <v>0</v>
      </c>
      <c r="S159">
        <v>1.7197671346136484E-3</v>
      </c>
      <c r="T159">
        <v>0.97</v>
      </c>
      <c r="U159">
        <v>1</v>
      </c>
      <c r="V159">
        <v>49.151593014038411</v>
      </c>
    </row>
    <row r="160" spans="1:22" x14ac:dyDescent="0.35">
      <c r="A160" t="s">
        <v>104</v>
      </c>
      <c r="B160" t="s">
        <v>8</v>
      </c>
      <c r="C160" t="s">
        <v>9</v>
      </c>
      <c r="D160">
        <v>0.62</v>
      </c>
      <c r="E160" t="s">
        <v>38</v>
      </c>
      <c r="F160" t="s">
        <v>34</v>
      </c>
      <c r="G160">
        <v>1</v>
      </c>
      <c r="H160">
        <v>735.719999999999</v>
      </c>
      <c r="I160" t="s">
        <v>48</v>
      </c>
      <c r="J160" s="1">
        <v>45312</v>
      </c>
      <c r="K160">
        <v>57.724041010399603</v>
      </c>
      <c r="L160" s="1">
        <v>45333</v>
      </c>
      <c r="M160" s="1">
        <v>45337</v>
      </c>
      <c r="N160">
        <v>577.24041010399606</v>
      </c>
      <c r="O160">
        <v>4</v>
      </c>
      <c r="P160" t="str">
        <f>IF(Table1[[#This Row],[Delivery Delay]]&gt;0,"Late","On Time")</f>
        <v>Late</v>
      </c>
      <c r="Q160">
        <v>57.724041010399603</v>
      </c>
      <c r="R160">
        <v>0.67225877192982975</v>
      </c>
      <c r="S160">
        <v>1.7323804475501625E-3</v>
      </c>
      <c r="T160">
        <v>0.62</v>
      </c>
      <c r="U160">
        <v>0</v>
      </c>
      <c r="V160">
        <v>32.097146852023101</v>
      </c>
    </row>
    <row r="161" spans="1:22" x14ac:dyDescent="0.35">
      <c r="A161" t="s">
        <v>105</v>
      </c>
      <c r="B161" t="s">
        <v>13</v>
      </c>
      <c r="C161" t="s">
        <v>9</v>
      </c>
      <c r="D161">
        <v>0.88</v>
      </c>
      <c r="E161" t="s">
        <v>35</v>
      </c>
      <c r="F161" t="s">
        <v>34</v>
      </c>
      <c r="G161">
        <v>1</v>
      </c>
      <c r="H161">
        <v>3.1024000000000398</v>
      </c>
      <c r="I161" t="s">
        <v>49</v>
      </c>
      <c r="J161" s="1">
        <v>45320</v>
      </c>
      <c r="K161">
        <v>76.788977503347496</v>
      </c>
      <c r="L161" s="1">
        <v>45333</v>
      </c>
      <c r="M161" s="1">
        <v>45331</v>
      </c>
      <c r="N161">
        <v>1305.4126175568999</v>
      </c>
      <c r="O161">
        <v>-2</v>
      </c>
      <c r="P161" t="str">
        <f>IF(Table1[[#This Row],[Delivery Delay]]&gt;0,"Late","On Time")</f>
        <v>On Time</v>
      </c>
      <c r="Q161">
        <v>76.788977503347056</v>
      </c>
      <c r="R161">
        <v>1.1210425290812105E-2</v>
      </c>
      <c r="S161">
        <v>7.660413164011817E-4</v>
      </c>
      <c r="T161">
        <v>0.88</v>
      </c>
      <c r="U161">
        <v>0</v>
      </c>
      <c r="V161">
        <v>26.647189745308282</v>
      </c>
    </row>
    <row r="162" spans="1:22" x14ac:dyDescent="0.35">
      <c r="A162" t="s">
        <v>106</v>
      </c>
      <c r="B162" t="s">
        <v>8</v>
      </c>
      <c r="C162" t="s">
        <v>7</v>
      </c>
      <c r="D162">
        <v>0.96</v>
      </c>
      <c r="E162" t="s">
        <v>37</v>
      </c>
      <c r="F162" t="s">
        <v>39</v>
      </c>
      <c r="G162">
        <v>0</v>
      </c>
      <c r="H162">
        <v>44.445999999999998</v>
      </c>
      <c r="I162" t="s">
        <v>51</v>
      </c>
      <c r="J162" s="1">
        <v>44930</v>
      </c>
      <c r="K162">
        <v>53.134238372277302</v>
      </c>
      <c r="L162" s="1">
        <v>44954</v>
      </c>
      <c r="M162" s="1">
        <v>44956</v>
      </c>
      <c r="N162">
        <v>743.87933721188301</v>
      </c>
      <c r="O162">
        <v>2</v>
      </c>
      <c r="P162" t="str">
        <f>IF(Table1[[#This Row],[Delivery Delay]]&gt;0,"Late","On Time")</f>
        <v>Late</v>
      </c>
      <c r="Q162">
        <v>53.134238372277359</v>
      </c>
      <c r="R162">
        <v>0.18955458127910746</v>
      </c>
      <c r="S162">
        <v>1.3443040423035233E-3</v>
      </c>
      <c r="T162">
        <v>0.96</v>
      </c>
      <c r="U162">
        <v>1</v>
      </c>
      <c r="V162">
        <v>52.631420746851255</v>
      </c>
    </row>
    <row r="163" spans="1:22" x14ac:dyDescent="0.35">
      <c r="A163" t="s">
        <v>108</v>
      </c>
      <c r="B163" t="s">
        <v>15</v>
      </c>
      <c r="C163" t="s">
        <v>9</v>
      </c>
      <c r="D163">
        <v>0.67</v>
      </c>
      <c r="E163" t="s">
        <v>38</v>
      </c>
      <c r="F163" t="s">
        <v>34</v>
      </c>
      <c r="G163">
        <v>1</v>
      </c>
      <c r="H163">
        <v>266.39399999999898</v>
      </c>
      <c r="I163" t="s">
        <v>45</v>
      </c>
      <c r="J163" s="1">
        <v>44573</v>
      </c>
      <c r="K163">
        <v>6.50861244971518</v>
      </c>
      <c r="L163" s="1">
        <v>44589</v>
      </c>
      <c r="M163" s="1">
        <v>44590</v>
      </c>
      <c r="N163">
        <v>97.629186745727694</v>
      </c>
      <c r="O163">
        <v>1</v>
      </c>
      <c r="P163" t="str">
        <f>IF(Table1[[#This Row],[Delivery Delay]]&gt;0,"Late","On Time")</f>
        <v>Late</v>
      </c>
      <c r="Q163">
        <v>6.5086124497151792</v>
      </c>
      <c r="R163">
        <v>0.22381461280208007</v>
      </c>
      <c r="S163">
        <v>1.0242838574538884E-2</v>
      </c>
      <c r="T163">
        <v>0.67</v>
      </c>
      <c r="U163">
        <v>0</v>
      </c>
      <c r="V163">
        <v>24.88357741327777</v>
      </c>
    </row>
    <row r="164" spans="1:22" x14ac:dyDescent="0.35">
      <c r="A164" t="s">
        <v>103</v>
      </c>
      <c r="B164" t="s">
        <v>12</v>
      </c>
      <c r="C164" t="s">
        <v>9</v>
      </c>
      <c r="D164">
        <v>0.82</v>
      </c>
      <c r="E164" t="s">
        <v>36</v>
      </c>
      <c r="F164" t="s">
        <v>39</v>
      </c>
      <c r="G164">
        <v>0</v>
      </c>
      <c r="H164">
        <v>103.4592</v>
      </c>
      <c r="I164" t="s">
        <v>46</v>
      </c>
      <c r="J164" s="1">
        <v>44424</v>
      </c>
      <c r="K164">
        <v>14.7381269177768</v>
      </c>
      <c r="L164" s="1">
        <v>44446</v>
      </c>
      <c r="M164" s="1">
        <v>44445</v>
      </c>
      <c r="N164">
        <v>103.166888424438</v>
      </c>
      <c r="O164">
        <v>-1</v>
      </c>
      <c r="P164" t="str">
        <f>IF(Table1[[#This Row],[Delivery Delay]]&gt;0,"Late","On Time")</f>
        <v>On Time</v>
      </c>
      <c r="Q164">
        <v>14.738126917776857</v>
      </c>
      <c r="R164">
        <v>0.15331395431546702</v>
      </c>
      <c r="S164">
        <v>9.6930324765239478E-3</v>
      </c>
      <c r="T164">
        <v>0.82</v>
      </c>
      <c r="U164">
        <v>1</v>
      </c>
      <c r="V164">
        <v>47.957070060605055</v>
      </c>
    </row>
    <row r="165" spans="1:22" x14ac:dyDescent="0.35">
      <c r="A165" t="s">
        <v>104</v>
      </c>
      <c r="B165" t="s">
        <v>15</v>
      </c>
      <c r="C165" t="s">
        <v>9</v>
      </c>
      <c r="D165">
        <v>0.96</v>
      </c>
      <c r="E165" t="s">
        <v>36</v>
      </c>
      <c r="F165" t="s">
        <v>34</v>
      </c>
      <c r="G165">
        <v>1</v>
      </c>
      <c r="H165">
        <v>25.167599999999901</v>
      </c>
      <c r="I165" t="s">
        <v>50</v>
      </c>
      <c r="J165" s="1">
        <v>45301</v>
      </c>
      <c r="K165">
        <v>48.4458753765295</v>
      </c>
      <c r="L165" s="1">
        <v>45323</v>
      </c>
      <c r="M165" s="1">
        <v>45324</v>
      </c>
      <c r="N165">
        <v>387.567003012236</v>
      </c>
      <c r="O165">
        <v>1</v>
      </c>
      <c r="P165" t="str">
        <f>IF(Table1[[#This Row],[Delivery Delay]]&gt;0,"Late","On Time")</f>
        <v>Late</v>
      </c>
      <c r="Q165">
        <v>48.4458753765295</v>
      </c>
      <c r="R165">
        <v>7.848990605262568E-2</v>
      </c>
      <c r="S165">
        <v>2.5801990164999386E-3</v>
      </c>
      <c r="T165">
        <v>0.96</v>
      </c>
      <c r="U165">
        <v>0</v>
      </c>
      <c r="V165">
        <v>30.447204091547508</v>
      </c>
    </row>
    <row r="166" spans="1:22" x14ac:dyDescent="0.35">
      <c r="A166" t="s">
        <v>105</v>
      </c>
      <c r="B166" t="s">
        <v>15</v>
      </c>
      <c r="C166" t="s">
        <v>11</v>
      </c>
      <c r="D166">
        <v>0.61</v>
      </c>
      <c r="E166" t="s">
        <v>37</v>
      </c>
      <c r="F166" t="s">
        <v>34</v>
      </c>
      <c r="G166">
        <v>1</v>
      </c>
      <c r="H166">
        <v>111.189599999999</v>
      </c>
      <c r="I166" t="s">
        <v>50</v>
      </c>
      <c r="J166" s="1">
        <v>44634</v>
      </c>
      <c r="K166">
        <v>34.675182619136002</v>
      </c>
      <c r="L166" s="1">
        <v>44648</v>
      </c>
      <c r="M166" s="1">
        <v>44647</v>
      </c>
      <c r="N166">
        <v>208.051095714816</v>
      </c>
      <c r="O166">
        <v>-1</v>
      </c>
      <c r="P166" t="str">
        <f>IF(Table1[[#This Row],[Delivery Delay]]&gt;0,"Late","On Time")</f>
        <v>On Time</v>
      </c>
      <c r="Q166">
        <v>34.675182619136002</v>
      </c>
      <c r="R166">
        <v>9.3188428535221662E-2</v>
      </c>
      <c r="S166">
        <v>4.8065115762271219E-3</v>
      </c>
      <c r="T166">
        <v>0.61</v>
      </c>
      <c r="U166">
        <v>0</v>
      </c>
      <c r="V166">
        <v>20.307963917991245</v>
      </c>
    </row>
    <row r="167" spans="1:22" x14ac:dyDescent="0.35">
      <c r="A167" t="s">
        <v>106</v>
      </c>
      <c r="B167" t="s">
        <v>8</v>
      </c>
      <c r="C167" t="s">
        <v>5</v>
      </c>
      <c r="D167">
        <v>0.87</v>
      </c>
      <c r="E167" t="s">
        <v>36</v>
      </c>
      <c r="F167" t="s">
        <v>34</v>
      </c>
      <c r="G167">
        <v>1</v>
      </c>
      <c r="H167">
        <v>711.04199999999901</v>
      </c>
      <c r="I167" t="s">
        <v>48</v>
      </c>
      <c r="J167" s="1">
        <v>44577</v>
      </c>
      <c r="K167">
        <v>43.703642658516102</v>
      </c>
      <c r="L167" s="1">
        <v>44590</v>
      </c>
      <c r="M167" s="1">
        <v>44589</v>
      </c>
      <c r="N167">
        <v>742.96192519477495</v>
      </c>
      <c r="O167">
        <v>-1</v>
      </c>
      <c r="P167" t="str">
        <f>IF(Table1[[#This Row],[Delivery Delay]]&gt;0,"Late","On Time")</f>
        <v>On Time</v>
      </c>
      <c r="Q167">
        <v>43.703642658516173</v>
      </c>
      <c r="R167">
        <v>0.69437559692266138</v>
      </c>
      <c r="S167">
        <v>1.3459639936970389E-3</v>
      </c>
      <c r="T167">
        <v>0.87</v>
      </c>
      <c r="U167">
        <v>0</v>
      </c>
      <c r="V167">
        <v>40.027890858264144</v>
      </c>
    </row>
    <row r="168" spans="1:22" x14ac:dyDescent="0.35">
      <c r="A168" t="s">
        <v>108</v>
      </c>
      <c r="B168" t="s">
        <v>13</v>
      </c>
      <c r="C168" t="s">
        <v>7</v>
      </c>
      <c r="D168">
        <v>0.72</v>
      </c>
      <c r="E168" t="s">
        <v>38</v>
      </c>
      <c r="F168" t="s">
        <v>34</v>
      </c>
      <c r="G168">
        <v>1</v>
      </c>
      <c r="H168">
        <v>-17.0625</v>
      </c>
      <c r="I168" t="s">
        <v>50</v>
      </c>
      <c r="J168" s="1">
        <v>44856</v>
      </c>
      <c r="K168">
        <v>41.102281377725099</v>
      </c>
      <c r="L168" s="1">
        <v>44873</v>
      </c>
      <c r="M168" s="1">
        <v>44877</v>
      </c>
      <c r="N168">
        <v>534.32965791042704</v>
      </c>
      <c r="O168">
        <v>4</v>
      </c>
      <c r="P168" t="str">
        <f>IF(Table1[[#This Row],[Delivery Delay]]&gt;0,"Late","On Time")</f>
        <v>Late</v>
      </c>
      <c r="Q168">
        <v>41.102281377725156</v>
      </c>
      <c r="R168">
        <v>0</v>
      </c>
      <c r="S168">
        <v>1.8715038276382481E-3</v>
      </c>
      <c r="T168">
        <v>0.72</v>
      </c>
      <c r="U168">
        <v>0</v>
      </c>
      <c r="V168">
        <v>21.656145114829148</v>
      </c>
    </row>
    <row r="169" spans="1:22" x14ac:dyDescent="0.35">
      <c r="A169" t="s">
        <v>107</v>
      </c>
      <c r="B169" t="s">
        <v>13</v>
      </c>
      <c r="C169" t="s">
        <v>7</v>
      </c>
      <c r="D169">
        <v>0.96</v>
      </c>
      <c r="E169" t="s">
        <v>36</v>
      </c>
      <c r="F169" t="s">
        <v>34</v>
      </c>
      <c r="G169">
        <v>1</v>
      </c>
      <c r="H169">
        <v>1.4549999999999901</v>
      </c>
      <c r="I169" t="s">
        <v>49</v>
      </c>
      <c r="J169" s="1">
        <v>44867</v>
      </c>
      <c r="K169">
        <v>50.536937532724302</v>
      </c>
      <c r="L169" s="1">
        <v>44883</v>
      </c>
      <c r="M169" s="1">
        <v>44887</v>
      </c>
      <c r="N169">
        <v>758.05406299086496</v>
      </c>
      <c r="O169">
        <v>4</v>
      </c>
      <c r="P169" t="str">
        <f>IF(Table1[[#This Row],[Delivery Delay]]&gt;0,"Late","On Time")</f>
        <v>Late</v>
      </c>
      <c r="Q169">
        <v>50.53693753272433</v>
      </c>
      <c r="R169">
        <v>1.3507867984960219E-2</v>
      </c>
      <c r="S169">
        <v>1.3191671264903577E-3</v>
      </c>
      <c r="T169">
        <v>0.96</v>
      </c>
      <c r="U169">
        <v>0</v>
      </c>
      <c r="V169">
        <v>29.109732373493912</v>
      </c>
    </row>
    <row r="170" spans="1:22" x14ac:dyDescent="0.35">
      <c r="A170" t="s">
        <v>100</v>
      </c>
      <c r="B170" t="s">
        <v>6</v>
      </c>
      <c r="C170" t="s">
        <v>9</v>
      </c>
      <c r="D170">
        <v>0.98</v>
      </c>
      <c r="E170" t="s">
        <v>38</v>
      </c>
      <c r="F170" t="s">
        <v>34</v>
      </c>
      <c r="G170">
        <v>1</v>
      </c>
      <c r="H170">
        <v>980.21699999999998</v>
      </c>
      <c r="I170" t="s">
        <v>51</v>
      </c>
      <c r="J170" s="1">
        <v>44457</v>
      </c>
      <c r="K170">
        <v>67.228871110197801</v>
      </c>
      <c r="L170" s="1">
        <v>44476</v>
      </c>
      <c r="M170" s="1">
        <v>44474</v>
      </c>
      <c r="N170">
        <v>739.51758221217494</v>
      </c>
      <c r="O170">
        <v>-2</v>
      </c>
      <c r="P170" t="str">
        <f>IF(Table1[[#This Row],[Delivery Delay]]&gt;0,"Late","On Time")</f>
        <v>On Time</v>
      </c>
      <c r="Q170">
        <v>67.228871110197716</v>
      </c>
      <c r="R170">
        <v>0.85808040884607606</v>
      </c>
      <c r="S170">
        <v>1.3522328935150186E-3</v>
      </c>
      <c r="T170">
        <v>0.98</v>
      </c>
      <c r="U170">
        <v>0</v>
      </c>
      <c r="V170">
        <v>46.602175163726969</v>
      </c>
    </row>
    <row r="171" spans="1:22" x14ac:dyDescent="0.35">
      <c r="A171" t="s">
        <v>101</v>
      </c>
      <c r="B171" t="s">
        <v>4</v>
      </c>
      <c r="C171" t="s">
        <v>9</v>
      </c>
      <c r="D171">
        <v>0.97</v>
      </c>
      <c r="E171" t="s">
        <v>36</v>
      </c>
      <c r="F171" t="s">
        <v>34</v>
      </c>
      <c r="G171">
        <v>1</v>
      </c>
      <c r="H171">
        <v>-74.963399999999893</v>
      </c>
      <c r="I171" t="s">
        <v>50</v>
      </c>
      <c r="J171" s="1">
        <v>45302</v>
      </c>
      <c r="K171">
        <v>63.8143981191946</v>
      </c>
      <c r="L171" s="1">
        <v>45316</v>
      </c>
      <c r="M171" s="1">
        <v>45313</v>
      </c>
      <c r="N171">
        <v>701.95837931113999</v>
      </c>
      <c r="O171">
        <v>-3</v>
      </c>
      <c r="P171" t="str">
        <f>IF(Table1[[#This Row],[Delivery Delay]]&gt;0,"Late","On Time")</f>
        <v>On Time</v>
      </c>
      <c r="Q171">
        <v>63.814398119194543</v>
      </c>
      <c r="R171">
        <v>0</v>
      </c>
      <c r="S171">
        <v>1.4245858863902163E-3</v>
      </c>
      <c r="T171">
        <v>0.97</v>
      </c>
      <c r="U171">
        <v>0</v>
      </c>
      <c r="V171">
        <v>29.142737576591703</v>
      </c>
    </row>
    <row r="172" spans="1:22" x14ac:dyDescent="0.35">
      <c r="A172" t="s">
        <v>102</v>
      </c>
      <c r="B172" t="s">
        <v>12</v>
      </c>
      <c r="C172" t="s">
        <v>7</v>
      </c>
      <c r="D172">
        <v>0.78</v>
      </c>
      <c r="E172" t="s">
        <v>38</v>
      </c>
      <c r="F172" t="s">
        <v>34</v>
      </c>
      <c r="G172">
        <v>1</v>
      </c>
      <c r="H172">
        <v>225.958</v>
      </c>
      <c r="I172" t="s">
        <v>50</v>
      </c>
      <c r="J172" s="1">
        <v>44855</v>
      </c>
      <c r="K172">
        <v>70.117298904078893</v>
      </c>
      <c r="L172" s="1">
        <v>44878</v>
      </c>
      <c r="M172" s="1">
        <v>44880</v>
      </c>
      <c r="N172">
        <v>911.52488575302505</v>
      </c>
      <c r="O172">
        <v>2</v>
      </c>
      <c r="P172" t="str">
        <f>IF(Table1[[#This Row],[Delivery Delay]]&gt;0,"Late","On Time")</f>
        <v>Late</v>
      </c>
      <c r="Q172">
        <v>70.117298904078851</v>
      </c>
      <c r="R172">
        <v>0.75029718619462205</v>
      </c>
      <c r="S172">
        <v>1.097062752350293E-3</v>
      </c>
      <c r="T172">
        <v>0.78</v>
      </c>
      <c r="U172">
        <v>0</v>
      </c>
      <c r="V172">
        <v>38.438855606462951</v>
      </c>
    </row>
    <row r="173" spans="1:22" x14ac:dyDescent="0.35">
      <c r="A173" t="s">
        <v>99</v>
      </c>
      <c r="B173" t="s">
        <v>8</v>
      </c>
      <c r="C173" t="s">
        <v>9</v>
      </c>
      <c r="D173">
        <v>0.94</v>
      </c>
      <c r="E173" t="s">
        <v>37</v>
      </c>
      <c r="F173" t="s">
        <v>34</v>
      </c>
      <c r="G173">
        <v>1</v>
      </c>
      <c r="H173">
        <v>-5.9323999999999097</v>
      </c>
      <c r="I173" t="s">
        <v>46</v>
      </c>
      <c r="J173" s="1">
        <v>44450</v>
      </c>
      <c r="K173">
        <v>48.819483468943602</v>
      </c>
      <c r="L173" s="1">
        <v>44460</v>
      </c>
      <c r="M173" s="1">
        <v>44466</v>
      </c>
      <c r="N173">
        <v>537.01431815837998</v>
      </c>
      <c r="O173">
        <v>6</v>
      </c>
      <c r="P173" t="str">
        <f>IF(Table1[[#This Row],[Delivery Delay]]&gt;0,"Late","On Time")</f>
        <v>Late</v>
      </c>
      <c r="Q173">
        <v>48.819483468943638</v>
      </c>
      <c r="R173">
        <v>0</v>
      </c>
      <c r="S173">
        <v>1.8621477420366901E-3</v>
      </c>
      <c r="T173">
        <v>0.94</v>
      </c>
      <c r="U173">
        <v>0</v>
      </c>
      <c r="V173">
        <v>28.255864432261095</v>
      </c>
    </row>
    <row r="174" spans="1:22" x14ac:dyDescent="0.35">
      <c r="A174" t="s">
        <v>103</v>
      </c>
      <c r="B174" t="s">
        <v>6</v>
      </c>
      <c r="C174" t="s">
        <v>11</v>
      </c>
      <c r="D174">
        <v>0.93</v>
      </c>
      <c r="E174" t="s">
        <v>37</v>
      </c>
      <c r="F174" t="s">
        <v>34</v>
      </c>
      <c r="G174">
        <v>1</v>
      </c>
      <c r="H174">
        <v>463.83749999999998</v>
      </c>
      <c r="I174" t="s">
        <v>46</v>
      </c>
      <c r="J174" s="1">
        <v>45007</v>
      </c>
      <c r="K174">
        <v>14.495859713456801</v>
      </c>
      <c r="L174" s="1">
        <v>45026</v>
      </c>
      <c r="M174" s="1">
        <v>45026</v>
      </c>
      <c r="N174">
        <v>231.93375541530801</v>
      </c>
      <c r="O174">
        <v>0</v>
      </c>
      <c r="P174" t="str">
        <f>IF(Table1[[#This Row],[Delivery Delay]]&gt;0,"Late","On Time")</f>
        <v>On Time</v>
      </c>
      <c r="Q174">
        <v>14.495859713456751</v>
      </c>
      <c r="R174">
        <v>0.40566600854033696</v>
      </c>
      <c r="S174">
        <v>4.3115759420588344E-3</v>
      </c>
      <c r="T174">
        <v>0.93</v>
      </c>
      <c r="U174">
        <v>0</v>
      </c>
      <c r="V174">
        <v>36.142667449068512</v>
      </c>
    </row>
    <row r="175" spans="1:22" x14ac:dyDescent="0.35">
      <c r="A175" t="s">
        <v>104</v>
      </c>
      <c r="B175" t="s">
        <v>10</v>
      </c>
      <c r="C175" t="s">
        <v>7</v>
      </c>
      <c r="D175">
        <v>0.72</v>
      </c>
      <c r="E175" t="s">
        <v>36</v>
      </c>
      <c r="F175" t="s">
        <v>39</v>
      </c>
      <c r="G175">
        <v>0</v>
      </c>
      <c r="H175">
        <v>297.20879999999897</v>
      </c>
      <c r="I175" t="s">
        <v>47</v>
      </c>
      <c r="J175" s="1">
        <v>44897</v>
      </c>
      <c r="K175">
        <v>27.077180287142699</v>
      </c>
      <c r="L175" s="1">
        <v>44913</v>
      </c>
      <c r="M175" s="1">
        <v>44912</v>
      </c>
      <c r="N175">
        <v>189.540262009999</v>
      </c>
      <c r="O175">
        <v>-1</v>
      </c>
      <c r="P175" t="str">
        <f>IF(Table1[[#This Row],[Delivery Delay]]&gt;0,"Late","On Time")</f>
        <v>On Time</v>
      </c>
      <c r="Q175">
        <v>27.077180287142713</v>
      </c>
      <c r="R175">
        <v>0.18685340388789365</v>
      </c>
      <c r="S175">
        <v>5.2759239087009704E-3</v>
      </c>
      <c r="T175">
        <v>0.72</v>
      </c>
      <c r="U175">
        <v>1</v>
      </c>
      <c r="V175">
        <v>45.495345795018906</v>
      </c>
    </row>
    <row r="176" spans="1:22" x14ac:dyDescent="0.35">
      <c r="A176" t="s">
        <v>105</v>
      </c>
      <c r="B176" t="s">
        <v>4</v>
      </c>
      <c r="C176" t="s">
        <v>9</v>
      </c>
      <c r="D176">
        <v>0.92</v>
      </c>
      <c r="E176" t="s">
        <v>35</v>
      </c>
      <c r="F176" t="s">
        <v>34</v>
      </c>
      <c r="G176">
        <v>1</v>
      </c>
      <c r="H176">
        <v>418.8528</v>
      </c>
      <c r="I176" t="s">
        <v>45</v>
      </c>
      <c r="J176" s="1">
        <v>44775</v>
      </c>
      <c r="K176">
        <v>11.066622934667199</v>
      </c>
      <c r="L176" s="1">
        <v>44789</v>
      </c>
      <c r="M176" s="1">
        <v>44788</v>
      </c>
      <c r="N176">
        <v>77.466360542670699</v>
      </c>
      <c r="O176">
        <v>-1</v>
      </c>
      <c r="P176" t="str">
        <f>IF(Table1[[#This Row],[Delivery Delay]]&gt;0,"Late","On Time")</f>
        <v>On Time</v>
      </c>
      <c r="Q176">
        <v>11.066622934667242</v>
      </c>
      <c r="R176">
        <v>0.40800286150458104</v>
      </c>
      <c r="S176">
        <v>1.2908828980666663E-2</v>
      </c>
      <c r="T176">
        <v>0.92</v>
      </c>
      <c r="U176">
        <v>0</v>
      </c>
      <c r="V176">
        <v>36.147322099511626</v>
      </c>
    </row>
    <row r="177" spans="1:22" x14ac:dyDescent="0.35">
      <c r="A177" t="s">
        <v>106</v>
      </c>
      <c r="B177" t="s">
        <v>4</v>
      </c>
      <c r="C177" t="s">
        <v>7</v>
      </c>
      <c r="D177">
        <v>0.61</v>
      </c>
      <c r="E177" t="s">
        <v>37</v>
      </c>
      <c r="F177" t="s">
        <v>34</v>
      </c>
      <c r="G177">
        <v>1</v>
      </c>
      <c r="H177">
        <v>4.48799999999994</v>
      </c>
      <c r="I177" t="s">
        <v>49</v>
      </c>
      <c r="J177" s="1">
        <v>44879</v>
      </c>
      <c r="K177">
        <v>16.589292096598701</v>
      </c>
      <c r="L177" s="1">
        <v>44900</v>
      </c>
      <c r="M177" s="1">
        <v>44901</v>
      </c>
      <c r="N177">
        <v>149.303628869389</v>
      </c>
      <c r="O177">
        <v>1</v>
      </c>
      <c r="P177" t="str">
        <f>IF(Table1[[#This Row],[Delivery Delay]]&gt;0,"Late","On Time")</f>
        <v>Late</v>
      </c>
      <c r="Q177">
        <v>16.589292096598779</v>
      </c>
      <c r="R177">
        <v>6.2347361489667758E-3</v>
      </c>
      <c r="S177">
        <v>6.6977608486314903E-3</v>
      </c>
      <c r="T177">
        <v>0.61</v>
      </c>
      <c r="U177">
        <v>0</v>
      </c>
      <c r="V177">
        <v>18.625627548438278</v>
      </c>
    </row>
    <row r="178" spans="1:22" x14ac:dyDescent="0.35">
      <c r="A178" t="s">
        <v>108</v>
      </c>
      <c r="B178" t="s">
        <v>8</v>
      </c>
      <c r="C178" t="s">
        <v>5</v>
      </c>
      <c r="D178">
        <v>0.83</v>
      </c>
      <c r="E178" t="s">
        <v>35</v>
      </c>
      <c r="F178" t="s">
        <v>39</v>
      </c>
      <c r="G178">
        <v>0</v>
      </c>
      <c r="H178">
        <v>316.34399999999903</v>
      </c>
      <c r="I178" t="s">
        <v>50</v>
      </c>
      <c r="J178" s="1">
        <v>44805</v>
      </c>
      <c r="K178">
        <v>32.408639151119999</v>
      </c>
      <c r="L178" s="1">
        <v>44829</v>
      </c>
      <c r="M178" s="1">
        <v>44835</v>
      </c>
      <c r="N178">
        <v>291.67775236007998</v>
      </c>
      <c r="O178">
        <v>6</v>
      </c>
      <c r="P178" t="str">
        <f>IF(Table1[[#This Row],[Delivery Delay]]&gt;0,"Late","On Time")</f>
        <v>Late</v>
      </c>
      <c r="Q178">
        <v>32.408639151119999</v>
      </c>
      <c r="R178">
        <v>0.21167156461274045</v>
      </c>
      <c r="S178">
        <v>3.4284411200669394E-3</v>
      </c>
      <c r="T178">
        <v>0.83</v>
      </c>
      <c r="U178">
        <v>1</v>
      </c>
      <c r="V178">
        <v>49.236284525856817</v>
      </c>
    </row>
    <row r="179" spans="1:22" x14ac:dyDescent="0.35">
      <c r="A179" t="s">
        <v>102</v>
      </c>
      <c r="B179" t="s">
        <v>14</v>
      </c>
      <c r="C179" t="s">
        <v>9</v>
      </c>
      <c r="D179">
        <v>0.69</v>
      </c>
      <c r="E179" t="s">
        <v>36</v>
      </c>
      <c r="F179" t="s">
        <v>34</v>
      </c>
      <c r="G179">
        <v>1</v>
      </c>
      <c r="H179">
        <v>102.07640000000001</v>
      </c>
      <c r="I179" t="s">
        <v>50</v>
      </c>
      <c r="J179" s="1">
        <v>44798</v>
      </c>
      <c r="K179">
        <v>3.7887073851331001</v>
      </c>
      <c r="L179" s="1">
        <v>44812</v>
      </c>
      <c r="M179" s="1">
        <v>44810</v>
      </c>
      <c r="N179">
        <v>53.041903391863499</v>
      </c>
      <c r="O179">
        <v>-2</v>
      </c>
      <c r="P179" t="str">
        <f>IF(Table1[[#This Row],[Delivery Delay]]&gt;0,"Late","On Time")</f>
        <v>On Time</v>
      </c>
      <c r="Q179">
        <v>3.7887073851331072</v>
      </c>
      <c r="R179">
        <v>0.11445641823993728</v>
      </c>
      <c r="S179">
        <v>1.885301876541251E-2</v>
      </c>
      <c r="T179">
        <v>0.69</v>
      </c>
      <c r="U179">
        <v>0</v>
      </c>
      <c r="V179">
        <v>23.554718927761119</v>
      </c>
    </row>
    <row r="180" spans="1:22" x14ac:dyDescent="0.35">
      <c r="A180" t="s">
        <v>99</v>
      </c>
      <c r="B180" t="s">
        <v>12</v>
      </c>
      <c r="C180" t="s">
        <v>7</v>
      </c>
      <c r="D180">
        <v>0.65</v>
      </c>
      <c r="E180" t="s">
        <v>35</v>
      </c>
      <c r="F180" t="s">
        <v>34</v>
      </c>
      <c r="G180">
        <v>1</v>
      </c>
      <c r="H180">
        <v>116.822999999999</v>
      </c>
      <c r="I180" t="s">
        <v>51</v>
      </c>
      <c r="J180" s="1">
        <v>44613</v>
      </c>
      <c r="K180">
        <v>17.309328475460799</v>
      </c>
      <c r="L180" s="1">
        <v>44631</v>
      </c>
      <c r="M180" s="1">
        <v>44634</v>
      </c>
      <c r="N180">
        <v>173.09328475460899</v>
      </c>
      <c r="O180">
        <v>3</v>
      </c>
      <c r="P180" t="str">
        <f>IF(Table1[[#This Row],[Delivery Delay]]&gt;0,"Late","On Time")</f>
        <v>Late</v>
      </c>
      <c r="Q180">
        <v>17.309328475460898</v>
      </c>
      <c r="R180">
        <v>0.17616296691713526</v>
      </c>
      <c r="S180">
        <v>5.777231632166902E-3</v>
      </c>
      <c r="T180">
        <v>0.65</v>
      </c>
      <c r="U180">
        <v>0</v>
      </c>
      <c r="V180">
        <v>23.196576287307714</v>
      </c>
    </row>
    <row r="181" spans="1:22" x14ac:dyDescent="0.35">
      <c r="A181" t="s">
        <v>103</v>
      </c>
      <c r="B181" t="s">
        <v>4</v>
      </c>
      <c r="C181" t="s">
        <v>9</v>
      </c>
      <c r="D181">
        <v>0.63</v>
      </c>
      <c r="E181" t="s">
        <v>35</v>
      </c>
      <c r="F181" t="s">
        <v>39</v>
      </c>
      <c r="G181">
        <v>0</v>
      </c>
      <c r="H181">
        <v>-39.743200000000101</v>
      </c>
      <c r="I181" t="s">
        <v>47</v>
      </c>
      <c r="J181" s="1">
        <v>44617</v>
      </c>
      <c r="K181">
        <v>33.026294012227197</v>
      </c>
      <c r="L181" s="1">
        <v>44628</v>
      </c>
      <c r="M181" s="1">
        <v>44632</v>
      </c>
      <c r="N181">
        <v>396.31552814672602</v>
      </c>
      <c r="O181">
        <v>4</v>
      </c>
      <c r="P181" t="str">
        <f>IF(Table1[[#This Row],[Delivery Delay]]&gt;0,"Late","On Time")</f>
        <v>Late</v>
      </c>
      <c r="Q181">
        <v>33.026294012227169</v>
      </c>
      <c r="R181">
        <v>0</v>
      </c>
      <c r="S181">
        <v>2.5232420356483603E-3</v>
      </c>
      <c r="T181">
        <v>0.63</v>
      </c>
      <c r="U181">
        <v>1</v>
      </c>
      <c r="V181">
        <v>38.975697261069456</v>
      </c>
    </row>
    <row r="182" spans="1:22" x14ac:dyDescent="0.35">
      <c r="A182" t="s">
        <v>104</v>
      </c>
      <c r="B182" t="s">
        <v>8</v>
      </c>
      <c r="C182" t="s">
        <v>9</v>
      </c>
      <c r="D182">
        <v>0.87</v>
      </c>
      <c r="E182" t="s">
        <v>38</v>
      </c>
      <c r="F182" t="s">
        <v>34</v>
      </c>
      <c r="G182">
        <v>1</v>
      </c>
      <c r="H182">
        <v>324.15519999999998</v>
      </c>
      <c r="I182" t="s">
        <v>45</v>
      </c>
      <c r="J182" s="1">
        <v>44342</v>
      </c>
      <c r="K182">
        <v>41.792235215139101</v>
      </c>
      <c r="L182" s="1">
        <v>44360</v>
      </c>
      <c r="M182" s="1">
        <v>44357</v>
      </c>
      <c r="N182">
        <v>585.09129301194798</v>
      </c>
      <c r="O182">
        <v>-3</v>
      </c>
      <c r="P182" t="str">
        <f>IF(Table1[[#This Row],[Delivery Delay]]&gt;0,"Late","On Time")</f>
        <v>On Time</v>
      </c>
      <c r="Q182">
        <v>41.792235215139144</v>
      </c>
      <c r="R182">
        <v>0.85215376008950694</v>
      </c>
      <c r="S182">
        <v>1.7091349878959475E-3</v>
      </c>
      <c r="T182">
        <v>0.87</v>
      </c>
      <c r="U182">
        <v>0</v>
      </c>
      <c r="V182">
        <v>43.19434925142702</v>
      </c>
    </row>
    <row r="183" spans="1:22" x14ac:dyDescent="0.35">
      <c r="A183" t="s">
        <v>105</v>
      </c>
      <c r="B183" t="s">
        <v>8</v>
      </c>
      <c r="C183" t="s">
        <v>9</v>
      </c>
      <c r="D183">
        <v>0.73</v>
      </c>
      <c r="E183" t="s">
        <v>37</v>
      </c>
      <c r="F183" t="s">
        <v>39</v>
      </c>
      <c r="G183">
        <v>0</v>
      </c>
      <c r="H183">
        <v>338.30639999999897</v>
      </c>
      <c r="I183" t="s">
        <v>47</v>
      </c>
      <c r="J183" s="1">
        <v>44720</v>
      </c>
      <c r="K183">
        <v>52.826505972564</v>
      </c>
      <c r="L183" s="1">
        <v>44742</v>
      </c>
      <c r="M183" s="1">
        <v>44744</v>
      </c>
      <c r="N183">
        <v>528.26505972563996</v>
      </c>
      <c r="O183">
        <v>2</v>
      </c>
      <c r="P183" t="str">
        <f>IF(Table1[[#This Row],[Delivery Delay]]&gt;0,"Late","On Time")</f>
        <v>Late</v>
      </c>
      <c r="Q183">
        <v>52.826505972563993</v>
      </c>
      <c r="R183">
        <v>0.24597904935076648</v>
      </c>
      <c r="S183">
        <v>1.8929891000539778E-3</v>
      </c>
      <c r="T183">
        <v>0.73</v>
      </c>
      <c r="U183">
        <v>1</v>
      </c>
      <c r="V183">
        <v>46.876370660016953</v>
      </c>
    </row>
    <row r="184" spans="1:22" x14ac:dyDescent="0.35">
      <c r="A184" t="s">
        <v>106</v>
      </c>
      <c r="B184" t="s">
        <v>6</v>
      </c>
      <c r="C184" t="s">
        <v>7</v>
      </c>
      <c r="D184">
        <v>0.88</v>
      </c>
      <c r="E184" t="s">
        <v>38</v>
      </c>
      <c r="F184" t="s">
        <v>34</v>
      </c>
      <c r="G184">
        <v>1</v>
      </c>
      <c r="H184">
        <v>208.71</v>
      </c>
      <c r="I184" t="s">
        <v>48</v>
      </c>
      <c r="J184" s="1">
        <v>45094</v>
      </c>
      <c r="K184">
        <v>45.601261999225599</v>
      </c>
      <c r="L184" s="1">
        <v>45115</v>
      </c>
      <c r="M184" s="1">
        <v>45116</v>
      </c>
      <c r="N184">
        <v>729.62019198761004</v>
      </c>
      <c r="O184">
        <v>1</v>
      </c>
      <c r="P184" t="str">
        <f>IF(Table1[[#This Row],[Delivery Delay]]&gt;0,"Late","On Time")</f>
        <v>Late</v>
      </c>
      <c r="Q184">
        <v>45.601261999225628</v>
      </c>
      <c r="R184">
        <v>0.78159757330637014</v>
      </c>
      <c r="S184">
        <v>1.3705761038161912E-3</v>
      </c>
      <c r="T184">
        <v>0.88</v>
      </c>
      <c r="U184">
        <v>0</v>
      </c>
      <c r="V184">
        <v>42.073068749241891</v>
      </c>
    </row>
    <row r="185" spans="1:22" x14ac:dyDescent="0.35">
      <c r="A185" t="s">
        <v>108</v>
      </c>
      <c r="B185" t="s">
        <v>10</v>
      </c>
      <c r="C185" t="s">
        <v>5</v>
      </c>
      <c r="D185">
        <v>0.63</v>
      </c>
      <c r="E185" t="s">
        <v>36</v>
      </c>
      <c r="F185" t="s">
        <v>34</v>
      </c>
      <c r="G185">
        <v>1</v>
      </c>
      <c r="H185">
        <v>546.34559999999999</v>
      </c>
      <c r="I185" t="s">
        <v>45</v>
      </c>
      <c r="J185" s="1">
        <v>45189</v>
      </c>
      <c r="K185">
        <v>77.289739205282302</v>
      </c>
      <c r="L185" s="1">
        <v>45202</v>
      </c>
      <c r="M185" s="1">
        <v>45206</v>
      </c>
      <c r="N185">
        <v>927.47687046338694</v>
      </c>
      <c r="O185">
        <v>4</v>
      </c>
      <c r="P185" t="str">
        <f>IF(Table1[[#This Row],[Delivery Delay]]&gt;0,"Late","On Time")</f>
        <v>Late</v>
      </c>
      <c r="Q185">
        <v>77.289739205282245</v>
      </c>
      <c r="R185">
        <v>0.85797417529542119</v>
      </c>
      <c r="S185">
        <v>1.0781940033721584E-3</v>
      </c>
      <c r="T185">
        <v>0.63</v>
      </c>
      <c r="U185">
        <v>0</v>
      </c>
      <c r="V185">
        <v>36.091829326009588</v>
      </c>
    </row>
    <row r="186" spans="1:22" x14ac:dyDescent="0.35">
      <c r="A186" t="s">
        <v>107</v>
      </c>
      <c r="B186" t="s">
        <v>14</v>
      </c>
      <c r="C186" t="s">
        <v>9</v>
      </c>
      <c r="D186">
        <v>0.72</v>
      </c>
      <c r="E186" t="s">
        <v>36</v>
      </c>
      <c r="F186" t="s">
        <v>39</v>
      </c>
      <c r="G186">
        <v>0</v>
      </c>
      <c r="H186">
        <v>185.896199999999</v>
      </c>
      <c r="I186" t="s">
        <v>50</v>
      </c>
      <c r="J186" s="1">
        <v>44808</v>
      </c>
      <c r="K186">
        <v>31.769971857536198</v>
      </c>
      <c r="L186" s="1">
        <v>44822</v>
      </c>
      <c r="M186" s="1">
        <v>44824</v>
      </c>
      <c r="N186">
        <v>285.92974671782503</v>
      </c>
      <c r="O186">
        <v>2</v>
      </c>
      <c r="P186" t="str">
        <f>IF(Table1[[#This Row],[Delivery Delay]]&gt;0,"Late","On Time")</f>
        <v>Late</v>
      </c>
      <c r="Q186">
        <v>31.769971857536113</v>
      </c>
      <c r="R186">
        <v>0.17925892325574877</v>
      </c>
      <c r="S186">
        <v>3.4973625916119465E-3</v>
      </c>
      <c r="T186">
        <v>0.72</v>
      </c>
      <c r="U186">
        <v>1</v>
      </c>
      <c r="V186">
        <v>45.290099342863336</v>
      </c>
    </row>
    <row r="187" spans="1:22" x14ac:dyDescent="0.35">
      <c r="A187" t="s">
        <v>100</v>
      </c>
      <c r="B187" t="s">
        <v>12</v>
      </c>
      <c r="C187" t="s">
        <v>7</v>
      </c>
      <c r="D187">
        <v>0.81</v>
      </c>
      <c r="E187" t="s">
        <v>35</v>
      </c>
      <c r="F187" t="s">
        <v>34</v>
      </c>
      <c r="G187">
        <v>1</v>
      </c>
      <c r="H187">
        <v>760.66139999999905</v>
      </c>
      <c r="I187" t="s">
        <v>50</v>
      </c>
      <c r="J187" s="1">
        <v>44928</v>
      </c>
      <c r="K187">
        <v>65.874561942966196</v>
      </c>
      <c r="L187" s="1">
        <v>44947</v>
      </c>
      <c r="M187" s="1">
        <v>44946</v>
      </c>
      <c r="N187">
        <v>526.99649554373002</v>
      </c>
      <c r="O187">
        <v>-1</v>
      </c>
      <c r="P187" t="str">
        <f>IF(Table1[[#This Row],[Delivery Delay]]&gt;0,"Late","On Time")</f>
        <v>On Time</v>
      </c>
      <c r="Q187">
        <v>65.874561942966253</v>
      </c>
      <c r="R187">
        <v>0.53181152152236855</v>
      </c>
      <c r="S187">
        <v>1.8975458251733674E-3</v>
      </c>
      <c r="T187">
        <v>0.81</v>
      </c>
      <c r="U187">
        <v>0</v>
      </c>
      <c r="V187">
        <v>34.993156805202574</v>
      </c>
    </row>
    <row r="188" spans="1:22" x14ac:dyDescent="0.35">
      <c r="A188" t="s">
        <v>101</v>
      </c>
      <c r="B188" t="s">
        <v>13</v>
      </c>
      <c r="C188" t="s">
        <v>9</v>
      </c>
      <c r="D188">
        <v>0.91</v>
      </c>
      <c r="E188" t="s">
        <v>38</v>
      </c>
      <c r="F188" t="s">
        <v>34</v>
      </c>
      <c r="G188">
        <v>1</v>
      </c>
      <c r="H188">
        <v>55.1039999999999</v>
      </c>
      <c r="I188" t="s">
        <v>45</v>
      </c>
      <c r="J188" s="1">
        <v>45343</v>
      </c>
      <c r="K188">
        <v>29.971612972115899</v>
      </c>
      <c r="L188" s="1">
        <v>45365</v>
      </c>
      <c r="M188" s="1">
        <v>45362</v>
      </c>
      <c r="N188">
        <v>419.60258160962201</v>
      </c>
      <c r="O188">
        <v>-3</v>
      </c>
      <c r="P188" t="str">
        <f>IF(Table1[[#This Row],[Delivery Delay]]&gt;0,"Late","On Time")</f>
        <v>On Time</v>
      </c>
      <c r="Q188">
        <v>29.971612972115857</v>
      </c>
      <c r="R188">
        <v>0.22479133861479805</v>
      </c>
      <c r="S188">
        <v>2.3832074535002547E-3</v>
      </c>
      <c r="T188">
        <v>0.91</v>
      </c>
      <c r="U188">
        <v>0</v>
      </c>
      <c r="V188">
        <v>31.86732299590097</v>
      </c>
    </row>
    <row r="189" spans="1:22" x14ac:dyDescent="0.35">
      <c r="A189" t="s">
        <v>102</v>
      </c>
      <c r="B189" t="s">
        <v>15</v>
      </c>
      <c r="C189" t="s">
        <v>11</v>
      </c>
      <c r="D189">
        <v>0.72</v>
      </c>
      <c r="E189" t="s">
        <v>35</v>
      </c>
      <c r="F189" t="s">
        <v>34</v>
      </c>
      <c r="G189">
        <v>1</v>
      </c>
      <c r="H189">
        <v>321.10079999999903</v>
      </c>
      <c r="I189" t="s">
        <v>50</v>
      </c>
      <c r="J189" s="1">
        <v>44366</v>
      </c>
      <c r="K189">
        <v>38.070077385744497</v>
      </c>
      <c r="L189" s="1">
        <v>44382</v>
      </c>
      <c r="M189" s="1">
        <v>44381</v>
      </c>
      <c r="N189">
        <v>304.56061908595598</v>
      </c>
      <c r="O189">
        <v>-1</v>
      </c>
      <c r="P189" t="str">
        <f>IF(Table1[[#This Row],[Delivery Delay]]&gt;0,"Late","On Time")</f>
        <v>On Time</v>
      </c>
      <c r="Q189">
        <v>38.070077385744497</v>
      </c>
      <c r="R189">
        <v>0.18070427557294019</v>
      </c>
      <c r="S189">
        <v>3.2834185949621101E-3</v>
      </c>
      <c r="T189">
        <v>0.72</v>
      </c>
      <c r="U189">
        <v>0</v>
      </c>
      <c r="V189">
        <v>25.312588069307669</v>
      </c>
    </row>
    <row r="190" spans="1:22" x14ac:dyDescent="0.35">
      <c r="A190" t="s">
        <v>99</v>
      </c>
      <c r="B190" t="s">
        <v>10</v>
      </c>
      <c r="C190" t="s">
        <v>9</v>
      </c>
      <c r="D190">
        <v>0.84</v>
      </c>
      <c r="E190" t="s">
        <v>38</v>
      </c>
      <c r="F190" t="s">
        <v>34</v>
      </c>
      <c r="G190">
        <v>1</v>
      </c>
      <c r="H190">
        <v>36.724999999999902</v>
      </c>
      <c r="I190" t="s">
        <v>49</v>
      </c>
      <c r="J190" s="1">
        <v>44418</v>
      </c>
      <c r="K190">
        <v>39.390142597548703</v>
      </c>
      <c r="L190" s="1">
        <v>44437</v>
      </c>
      <c r="M190" s="1">
        <v>44436</v>
      </c>
      <c r="N190">
        <v>590.85213896323103</v>
      </c>
      <c r="O190">
        <v>-1</v>
      </c>
      <c r="P190" t="str">
        <f>IF(Table1[[#This Row],[Delivery Delay]]&gt;0,"Late","On Time")</f>
        <v>On Time</v>
      </c>
      <c r="Q190">
        <v>39.390142597548738</v>
      </c>
      <c r="R190">
        <v>0.30854862423860452</v>
      </c>
      <c r="S190">
        <v>1.6924708130103435E-3</v>
      </c>
      <c r="T190">
        <v>0.84</v>
      </c>
      <c r="U190">
        <v>0</v>
      </c>
      <c r="V190">
        <v>31.421746609162405</v>
      </c>
    </row>
    <row r="191" spans="1:22" x14ac:dyDescent="0.35">
      <c r="A191" t="s">
        <v>103</v>
      </c>
      <c r="B191" t="s">
        <v>10</v>
      </c>
      <c r="C191" t="s">
        <v>11</v>
      </c>
      <c r="D191">
        <v>0.95</v>
      </c>
      <c r="E191" t="s">
        <v>35</v>
      </c>
      <c r="F191" t="s">
        <v>34</v>
      </c>
      <c r="G191">
        <v>1</v>
      </c>
      <c r="H191">
        <v>131.744</v>
      </c>
      <c r="I191" t="s">
        <v>45</v>
      </c>
      <c r="J191" s="1">
        <v>44218</v>
      </c>
      <c r="K191">
        <v>50.315470850313702</v>
      </c>
      <c r="L191" s="1">
        <v>44236</v>
      </c>
      <c r="M191" s="1">
        <v>44233</v>
      </c>
      <c r="N191">
        <v>704.41659190439202</v>
      </c>
      <c r="O191">
        <v>-3</v>
      </c>
      <c r="P191" t="str">
        <f>IF(Table1[[#This Row],[Delivery Delay]]&gt;0,"Late","On Time")</f>
        <v>On Time</v>
      </c>
      <c r="Q191">
        <v>50.315470850313716</v>
      </c>
      <c r="R191">
        <v>0.67166979362101309</v>
      </c>
      <c r="S191">
        <v>1.4196144887736069E-3</v>
      </c>
      <c r="T191">
        <v>0.95</v>
      </c>
      <c r="U191">
        <v>0</v>
      </c>
      <c r="V191">
        <v>41.975984307083472</v>
      </c>
    </row>
    <row r="192" spans="1:22" x14ac:dyDescent="0.35">
      <c r="A192" t="s">
        <v>104</v>
      </c>
      <c r="B192" t="s">
        <v>6</v>
      </c>
      <c r="C192" t="s">
        <v>7</v>
      </c>
      <c r="D192">
        <v>0.84</v>
      </c>
      <c r="E192" t="s">
        <v>38</v>
      </c>
      <c r="F192" t="s">
        <v>34</v>
      </c>
      <c r="G192">
        <v>1</v>
      </c>
      <c r="H192">
        <v>552.50599999999997</v>
      </c>
      <c r="I192" t="s">
        <v>47</v>
      </c>
      <c r="J192" s="1">
        <v>44789</v>
      </c>
      <c r="K192">
        <v>77.195450147392506</v>
      </c>
      <c r="L192" s="1">
        <v>44801</v>
      </c>
      <c r="M192" s="1">
        <v>44801</v>
      </c>
      <c r="N192">
        <v>1235.1272023582801</v>
      </c>
      <c r="O192">
        <v>0</v>
      </c>
      <c r="P192" t="str">
        <f>IF(Table1[[#This Row],[Delivery Delay]]&gt;0,"Late","On Time")</f>
        <v>On Time</v>
      </c>
      <c r="Q192">
        <v>77.195450147392506</v>
      </c>
      <c r="R192">
        <v>0.47228547787078068</v>
      </c>
      <c r="S192">
        <v>8.096332087016286E-4</v>
      </c>
      <c r="T192">
        <v>0.84</v>
      </c>
      <c r="U192">
        <v>0</v>
      </c>
      <c r="V192">
        <v>34.66999855367667</v>
      </c>
    </row>
    <row r="193" spans="1:22" x14ac:dyDescent="0.35">
      <c r="A193" t="s">
        <v>105</v>
      </c>
      <c r="B193" t="s">
        <v>13</v>
      </c>
      <c r="C193" t="s">
        <v>5</v>
      </c>
      <c r="D193">
        <v>0.69</v>
      </c>
      <c r="E193" t="s">
        <v>36</v>
      </c>
      <c r="F193" t="s">
        <v>34</v>
      </c>
      <c r="G193">
        <v>1</v>
      </c>
      <c r="H193">
        <v>-131.2448</v>
      </c>
      <c r="I193" t="s">
        <v>45</v>
      </c>
      <c r="J193" s="1">
        <v>44771</v>
      </c>
      <c r="K193">
        <v>14.7382098616036</v>
      </c>
      <c r="L193" s="1">
        <v>44789</v>
      </c>
      <c r="M193" s="1">
        <v>44786</v>
      </c>
      <c r="N193">
        <v>176.85851833924301</v>
      </c>
      <c r="O193">
        <v>-3</v>
      </c>
      <c r="P193" t="str">
        <f>IF(Table1[[#This Row],[Delivery Delay]]&gt;0,"Late","On Time")</f>
        <v>On Time</v>
      </c>
      <c r="Q193">
        <v>14.738209861603584</v>
      </c>
      <c r="R193">
        <v>0</v>
      </c>
      <c r="S193">
        <v>5.6542371234946098E-3</v>
      </c>
      <c r="T193">
        <v>0.69</v>
      </c>
      <c r="U193">
        <v>0</v>
      </c>
      <c r="V193">
        <v>20.869627113704837</v>
      </c>
    </row>
    <row r="194" spans="1:22" x14ac:dyDescent="0.35">
      <c r="A194" t="s">
        <v>106</v>
      </c>
      <c r="B194" t="s">
        <v>4</v>
      </c>
      <c r="C194" t="s">
        <v>9</v>
      </c>
      <c r="D194">
        <v>0.61</v>
      </c>
      <c r="E194" t="s">
        <v>37</v>
      </c>
      <c r="F194" t="s">
        <v>34</v>
      </c>
      <c r="G194">
        <v>1</v>
      </c>
      <c r="H194">
        <v>137.94839999999999</v>
      </c>
      <c r="I194" t="s">
        <v>50</v>
      </c>
      <c r="J194" s="1">
        <v>44476</v>
      </c>
      <c r="K194">
        <v>78.085507760598603</v>
      </c>
      <c r="L194" s="1">
        <v>44499</v>
      </c>
      <c r="M194" s="1">
        <v>44504</v>
      </c>
      <c r="N194">
        <v>937.026093127183</v>
      </c>
      <c r="O194">
        <v>5</v>
      </c>
      <c r="P194" t="str">
        <f>IF(Table1[[#This Row],[Delivery Delay]]&gt;0,"Late","On Time")</f>
        <v>Late</v>
      </c>
      <c r="Q194">
        <v>78.085507760598588</v>
      </c>
      <c r="R194">
        <v>0.20171185825055696</v>
      </c>
      <c r="S194">
        <v>1.0672061400794626E-3</v>
      </c>
      <c r="T194">
        <v>0.61</v>
      </c>
      <c r="U194">
        <v>0</v>
      </c>
      <c r="V194">
        <v>22.366253349213522</v>
      </c>
    </row>
    <row r="195" spans="1:22" x14ac:dyDescent="0.35">
      <c r="A195" t="s">
        <v>108</v>
      </c>
      <c r="B195" t="s">
        <v>4</v>
      </c>
      <c r="C195" t="s">
        <v>9</v>
      </c>
      <c r="D195">
        <v>0.94</v>
      </c>
      <c r="E195" t="s">
        <v>37</v>
      </c>
      <c r="F195" t="s">
        <v>34</v>
      </c>
      <c r="G195">
        <v>1</v>
      </c>
      <c r="H195">
        <v>201.5872</v>
      </c>
      <c r="I195" t="s">
        <v>49</v>
      </c>
      <c r="J195" s="1">
        <v>44633</v>
      </c>
      <c r="K195">
        <v>12.585993675620101</v>
      </c>
      <c r="L195" s="1">
        <v>44650</v>
      </c>
      <c r="M195" s="1">
        <v>44653</v>
      </c>
      <c r="N195">
        <v>201.37589880992201</v>
      </c>
      <c r="O195">
        <v>3</v>
      </c>
      <c r="P195" t="str">
        <f>IF(Table1[[#This Row],[Delivery Delay]]&gt;0,"Late","On Time")</f>
        <v>Late</v>
      </c>
      <c r="Q195">
        <v>12.585993675620125</v>
      </c>
      <c r="R195">
        <v>0.7701599100200498</v>
      </c>
      <c r="S195">
        <v>4.9658375501226018E-3</v>
      </c>
      <c r="T195">
        <v>0.94</v>
      </c>
      <c r="U195">
        <v>0</v>
      </c>
      <c r="V195">
        <v>43.752173326904668</v>
      </c>
    </row>
    <row r="196" spans="1:22" x14ac:dyDescent="0.35">
      <c r="A196" t="s">
        <v>102</v>
      </c>
      <c r="B196" t="s">
        <v>6</v>
      </c>
      <c r="C196" t="s">
        <v>9</v>
      </c>
      <c r="D196">
        <v>0.61</v>
      </c>
      <c r="E196" t="s">
        <v>35</v>
      </c>
      <c r="F196" t="s">
        <v>34</v>
      </c>
      <c r="G196">
        <v>1</v>
      </c>
      <c r="H196">
        <v>169.06559999999899</v>
      </c>
      <c r="I196" t="s">
        <v>49</v>
      </c>
      <c r="J196" s="1">
        <v>45021</v>
      </c>
      <c r="K196">
        <v>18.802838040088599</v>
      </c>
      <c r="L196" s="1">
        <v>45037</v>
      </c>
      <c r="M196" s="1">
        <v>45043</v>
      </c>
      <c r="N196">
        <v>263.239732561241</v>
      </c>
      <c r="O196">
        <v>6</v>
      </c>
      <c r="P196" t="str">
        <f>IF(Table1[[#This Row],[Delivery Delay]]&gt;0,"Late","On Time")</f>
        <v>Late</v>
      </c>
      <c r="Q196">
        <v>18.802838040088641</v>
      </c>
      <c r="R196">
        <v>0.40874065821844541</v>
      </c>
      <c r="S196">
        <v>3.7988186292027804E-3</v>
      </c>
      <c r="T196">
        <v>0.61</v>
      </c>
      <c r="U196">
        <v>0</v>
      </c>
      <c r="V196">
        <v>26.588777723244995</v>
      </c>
    </row>
    <row r="197" spans="1:22" x14ac:dyDescent="0.35">
      <c r="A197" t="s">
        <v>99</v>
      </c>
      <c r="B197" t="s">
        <v>8</v>
      </c>
      <c r="C197" t="s">
        <v>7</v>
      </c>
      <c r="D197">
        <v>0.94</v>
      </c>
      <c r="E197" t="s">
        <v>37</v>
      </c>
      <c r="F197" t="s">
        <v>34</v>
      </c>
      <c r="G197">
        <v>1</v>
      </c>
      <c r="H197">
        <v>498.2525</v>
      </c>
      <c r="I197" t="s">
        <v>48</v>
      </c>
      <c r="J197" s="1">
        <v>44948</v>
      </c>
      <c r="K197">
        <v>66.149728384119797</v>
      </c>
      <c r="L197" s="1">
        <v>44971</v>
      </c>
      <c r="M197" s="1">
        <v>44973</v>
      </c>
      <c r="N197">
        <v>595.34755545707799</v>
      </c>
      <c r="O197">
        <v>2</v>
      </c>
      <c r="P197" t="str">
        <f>IF(Table1[[#This Row],[Delivery Delay]]&gt;0,"Late","On Time")</f>
        <v>Late</v>
      </c>
      <c r="Q197">
        <v>66.149728384119783</v>
      </c>
      <c r="R197">
        <v>0.61725837073101231</v>
      </c>
      <c r="S197">
        <v>1.679691116279549E-3</v>
      </c>
      <c r="T197">
        <v>0.94</v>
      </c>
      <c r="U197">
        <v>0</v>
      </c>
      <c r="V197">
        <v>40.59555814810863</v>
      </c>
    </row>
    <row r="198" spans="1:22" x14ac:dyDescent="0.35">
      <c r="A198" t="s">
        <v>103</v>
      </c>
      <c r="B198" t="s">
        <v>4</v>
      </c>
      <c r="C198" t="s">
        <v>9</v>
      </c>
      <c r="D198">
        <v>0.81</v>
      </c>
      <c r="E198" t="s">
        <v>35</v>
      </c>
      <c r="F198" t="s">
        <v>34</v>
      </c>
      <c r="G198">
        <v>1</v>
      </c>
      <c r="H198">
        <v>449.0684</v>
      </c>
      <c r="I198" t="s">
        <v>47</v>
      </c>
      <c r="J198" s="1">
        <v>45137</v>
      </c>
      <c r="K198">
        <v>47.518660310161799</v>
      </c>
      <c r="L198" s="1">
        <v>45159</v>
      </c>
      <c r="M198" s="1">
        <v>45159</v>
      </c>
      <c r="N198">
        <v>380.14928248129399</v>
      </c>
      <c r="O198">
        <v>0</v>
      </c>
      <c r="P198" t="str">
        <f>IF(Table1[[#This Row],[Delivery Delay]]&gt;0,"Late","On Time")</f>
        <v>On Time</v>
      </c>
      <c r="Q198">
        <v>47.518660310161749</v>
      </c>
      <c r="R198">
        <v>0.90554707280618763</v>
      </c>
      <c r="S198">
        <v>2.6305455411433191E-3</v>
      </c>
      <c r="T198">
        <v>0.81</v>
      </c>
      <c r="U198">
        <v>0</v>
      </c>
      <c r="V198">
        <v>42.489857822358054</v>
      </c>
    </row>
    <row r="199" spans="1:22" x14ac:dyDescent="0.35">
      <c r="A199" t="s">
        <v>104</v>
      </c>
      <c r="B199" t="s">
        <v>14</v>
      </c>
      <c r="C199" t="s">
        <v>9</v>
      </c>
      <c r="D199">
        <v>0.97</v>
      </c>
      <c r="E199" t="s">
        <v>37</v>
      </c>
      <c r="F199" t="s">
        <v>34</v>
      </c>
      <c r="G199">
        <v>1</v>
      </c>
      <c r="H199">
        <v>20.403199999999899</v>
      </c>
      <c r="I199" t="s">
        <v>46</v>
      </c>
      <c r="J199" s="1">
        <v>44823</v>
      </c>
      <c r="K199">
        <v>54.918716620008603</v>
      </c>
      <c r="L199" s="1">
        <v>44838</v>
      </c>
      <c r="M199" s="1">
        <v>44835</v>
      </c>
      <c r="N199">
        <v>549.18716620008604</v>
      </c>
      <c r="O199">
        <v>-3</v>
      </c>
      <c r="P199" t="str">
        <f>IF(Table1[[#This Row],[Delivery Delay]]&gt;0,"Late","On Time")</f>
        <v>On Time</v>
      </c>
      <c r="Q199">
        <v>54.918716620008603</v>
      </c>
      <c r="R199">
        <v>0.3826327002130393</v>
      </c>
      <c r="S199">
        <v>1.8208728490856044E-3</v>
      </c>
      <c r="T199">
        <v>0.97</v>
      </c>
      <c r="U199">
        <v>0</v>
      </c>
      <c r="V199">
        <v>36.807280189733348</v>
      </c>
    </row>
    <row r="200" spans="1:22" x14ac:dyDescent="0.35">
      <c r="A200" t="s">
        <v>105</v>
      </c>
      <c r="B200" t="s">
        <v>12</v>
      </c>
      <c r="C200" t="s">
        <v>7</v>
      </c>
      <c r="D200">
        <v>0.91</v>
      </c>
      <c r="E200" t="s">
        <v>38</v>
      </c>
      <c r="F200" t="s">
        <v>34</v>
      </c>
      <c r="G200">
        <v>1</v>
      </c>
      <c r="H200">
        <v>149.45070000000001</v>
      </c>
      <c r="I200" t="s">
        <v>46</v>
      </c>
      <c r="J200" s="1">
        <v>45127</v>
      </c>
      <c r="K200">
        <v>42.339841424274901</v>
      </c>
      <c r="L200" s="1">
        <v>45139</v>
      </c>
      <c r="M200" s="1">
        <v>45137</v>
      </c>
      <c r="N200">
        <v>465.73825566702402</v>
      </c>
      <c r="O200">
        <v>-2</v>
      </c>
      <c r="P200" t="str">
        <f>IF(Table1[[#This Row],[Delivery Delay]]&gt;0,"Late","On Time")</f>
        <v>On Time</v>
      </c>
      <c r="Q200">
        <v>42.339841424274908</v>
      </c>
      <c r="R200">
        <v>0.43095359823663093</v>
      </c>
      <c r="S200">
        <v>2.1471287527536544E-3</v>
      </c>
      <c r="T200">
        <v>0.91</v>
      </c>
      <c r="U200">
        <v>0</v>
      </c>
      <c r="V200">
        <v>35.983485827315235</v>
      </c>
    </row>
    <row r="201" spans="1:22" x14ac:dyDescent="0.35">
      <c r="A201" t="s">
        <v>106</v>
      </c>
      <c r="B201" t="s">
        <v>10</v>
      </c>
      <c r="C201" t="s">
        <v>9</v>
      </c>
      <c r="D201">
        <v>0.99</v>
      </c>
      <c r="E201" t="s">
        <v>38</v>
      </c>
      <c r="F201" t="s">
        <v>34</v>
      </c>
      <c r="G201">
        <v>1</v>
      </c>
      <c r="H201">
        <v>1052.4204</v>
      </c>
      <c r="I201" t="s">
        <v>45</v>
      </c>
      <c r="J201" s="1">
        <v>45267</v>
      </c>
      <c r="K201">
        <v>58.114799571113601</v>
      </c>
      <c r="L201" s="1">
        <v>45290</v>
      </c>
      <c r="M201" s="1">
        <v>45287</v>
      </c>
      <c r="N201">
        <v>639.26279528224995</v>
      </c>
      <c r="O201">
        <v>-3</v>
      </c>
      <c r="P201" t="str">
        <f>IF(Table1[[#This Row],[Delivery Delay]]&gt;0,"Late","On Time")</f>
        <v>On Time</v>
      </c>
      <c r="Q201">
        <v>58.114799571113629</v>
      </c>
      <c r="R201">
        <v>0.41835088989666402</v>
      </c>
      <c r="S201">
        <v>1.5643018917728129E-3</v>
      </c>
      <c r="T201">
        <v>0.99</v>
      </c>
      <c r="U201">
        <v>0</v>
      </c>
      <c r="V201">
        <v>38.113946854686468</v>
      </c>
    </row>
    <row r="202" spans="1:22" x14ac:dyDescent="0.35">
      <c r="A202" t="s">
        <v>108</v>
      </c>
      <c r="B202" t="s">
        <v>4</v>
      </c>
      <c r="C202" t="s">
        <v>5</v>
      </c>
      <c r="D202">
        <v>0.75</v>
      </c>
      <c r="E202" t="s">
        <v>35</v>
      </c>
      <c r="F202" t="s">
        <v>34</v>
      </c>
      <c r="G202">
        <v>1</v>
      </c>
      <c r="H202">
        <v>493.44779999999997</v>
      </c>
      <c r="I202" t="s">
        <v>50</v>
      </c>
      <c r="J202" s="1">
        <v>44776</v>
      </c>
      <c r="K202">
        <v>40.013936114012601</v>
      </c>
      <c r="L202" s="1">
        <v>44793</v>
      </c>
      <c r="M202" s="1">
        <v>44795</v>
      </c>
      <c r="N202">
        <v>520.181169482163</v>
      </c>
      <c r="O202">
        <v>2</v>
      </c>
      <c r="P202" t="str">
        <f>IF(Table1[[#This Row],[Delivery Delay]]&gt;0,"Late","On Time")</f>
        <v>Late</v>
      </c>
      <c r="Q202">
        <v>40.013936114012537</v>
      </c>
      <c r="R202">
        <v>0.47962137103993491</v>
      </c>
      <c r="S202">
        <v>1.9224071509460704E-3</v>
      </c>
      <c r="T202">
        <v>0.75</v>
      </c>
      <c r="U202">
        <v>0</v>
      </c>
      <c r="V202">
        <v>32.150099635327081</v>
      </c>
    </row>
    <row r="203" spans="1:22" x14ac:dyDescent="0.35">
      <c r="A203" t="s">
        <v>107</v>
      </c>
      <c r="B203" t="s">
        <v>6</v>
      </c>
      <c r="C203" t="s">
        <v>7</v>
      </c>
      <c r="D203">
        <v>0.8</v>
      </c>
      <c r="E203" t="s">
        <v>38</v>
      </c>
      <c r="F203" t="s">
        <v>34</v>
      </c>
      <c r="G203">
        <v>1</v>
      </c>
      <c r="H203">
        <v>750.20640000000003</v>
      </c>
      <c r="I203" t="s">
        <v>47</v>
      </c>
      <c r="J203" s="1">
        <v>44403</v>
      </c>
      <c r="K203">
        <v>69.901405882081093</v>
      </c>
      <c r="L203" s="1">
        <v>44425</v>
      </c>
      <c r="M203" s="1">
        <v>44431</v>
      </c>
      <c r="N203">
        <v>1118.42249411329</v>
      </c>
      <c r="O203">
        <v>6</v>
      </c>
      <c r="P203" t="str">
        <f>IF(Table1[[#This Row],[Delivery Delay]]&gt;0,"Late","On Time")</f>
        <v>Late</v>
      </c>
      <c r="Q203">
        <v>69.901405882080624</v>
      </c>
      <c r="R203">
        <v>0.54023514934904449</v>
      </c>
      <c r="S203">
        <v>8.9411649467299216E-4</v>
      </c>
      <c r="T203">
        <v>0.8</v>
      </c>
      <c r="U203">
        <v>0</v>
      </c>
      <c r="V203">
        <v>34.831526481821079</v>
      </c>
    </row>
    <row r="204" spans="1:22" x14ac:dyDescent="0.35">
      <c r="A204" t="s">
        <v>100</v>
      </c>
      <c r="B204" t="s">
        <v>8</v>
      </c>
      <c r="C204" t="s">
        <v>9</v>
      </c>
      <c r="D204">
        <v>0.62</v>
      </c>
      <c r="E204" t="s">
        <v>35</v>
      </c>
      <c r="F204" t="s">
        <v>34</v>
      </c>
      <c r="G204">
        <v>1</v>
      </c>
      <c r="H204">
        <v>616.19439999999895</v>
      </c>
      <c r="I204" t="s">
        <v>45</v>
      </c>
      <c r="J204" s="1">
        <v>45190</v>
      </c>
      <c r="K204">
        <v>56.6807387262647</v>
      </c>
      <c r="L204" s="1">
        <v>45210</v>
      </c>
      <c r="M204" s="1">
        <v>45207</v>
      </c>
      <c r="N204">
        <v>736.84960344144099</v>
      </c>
      <c r="O204">
        <v>-3</v>
      </c>
      <c r="P204" t="str">
        <f>IF(Table1[[#This Row],[Delivery Delay]]&gt;0,"Late","On Time")</f>
        <v>On Time</v>
      </c>
      <c r="Q204">
        <v>56.680738726264693</v>
      </c>
      <c r="R204">
        <v>0.34449780239489219</v>
      </c>
      <c r="S204">
        <v>1.3571290468631868E-3</v>
      </c>
      <c r="T204">
        <v>0.62</v>
      </c>
      <c r="U204">
        <v>0</v>
      </c>
      <c r="V204">
        <v>25.53066991930374</v>
      </c>
    </row>
    <row r="205" spans="1:22" x14ac:dyDescent="0.35">
      <c r="A205" t="s">
        <v>101</v>
      </c>
      <c r="B205" t="s">
        <v>4</v>
      </c>
      <c r="C205" t="s">
        <v>9</v>
      </c>
      <c r="D205">
        <v>0.66</v>
      </c>
      <c r="E205" t="s">
        <v>36</v>
      </c>
      <c r="F205" t="s">
        <v>39</v>
      </c>
      <c r="G205">
        <v>0</v>
      </c>
      <c r="H205">
        <v>446.39679999999998</v>
      </c>
      <c r="I205" t="s">
        <v>50</v>
      </c>
      <c r="J205" s="1">
        <v>45366</v>
      </c>
      <c r="K205">
        <v>51.676431950130201</v>
      </c>
      <c r="L205" s="1">
        <v>45382</v>
      </c>
      <c r="M205" s="1">
        <v>45379</v>
      </c>
      <c r="N205">
        <v>723.470047301823</v>
      </c>
      <c r="O205">
        <v>-3</v>
      </c>
      <c r="P205" t="str">
        <f>IF(Table1[[#This Row],[Delivery Delay]]&gt;0,"Late","On Time")</f>
        <v>On Time</v>
      </c>
      <c r="Q205">
        <v>51.676431950130215</v>
      </c>
      <c r="R205">
        <v>0.4236562862540012</v>
      </c>
      <c r="S205">
        <v>1.382227230732625E-3</v>
      </c>
      <c r="T205">
        <v>0.66</v>
      </c>
      <c r="U205">
        <v>1</v>
      </c>
      <c r="V205">
        <v>48.314592542002003</v>
      </c>
    </row>
    <row r="206" spans="1:22" x14ac:dyDescent="0.35">
      <c r="A206" t="s">
        <v>102</v>
      </c>
      <c r="B206" t="s">
        <v>10</v>
      </c>
      <c r="C206" t="s">
        <v>9</v>
      </c>
      <c r="D206">
        <v>0.89</v>
      </c>
      <c r="E206" t="s">
        <v>36</v>
      </c>
      <c r="F206" t="s">
        <v>34</v>
      </c>
      <c r="G206">
        <v>1</v>
      </c>
      <c r="H206">
        <v>35.941600000000101</v>
      </c>
      <c r="I206" t="s">
        <v>49</v>
      </c>
      <c r="J206" s="1">
        <v>45320</v>
      </c>
      <c r="K206">
        <v>79.468743755321597</v>
      </c>
      <c r="L206" s="1">
        <v>45332</v>
      </c>
      <c r="M206" s="1">
        <v>45336</v>
      </c>
      <c r="N206">
        <v>317.87497502128599</v>
      </c>
      <c r="O206">
        <v>4</v>
      </c>
      <c r="P206" t="str">
        <f>IF(Table1[[#This Row],[Delivery Delay]]&gt;0,"Late","On Time")</f>
        <v>Late</v>
      </c>
      <c r="Q206">
        <v>79.468743755321498</v>
      </c>
      <c r="R206">
        <v>3.1962248875412984E-2</v>
      </c>
      <c r="S206">
        <v>3.1458909275039236E-3</v>
      </c>
      <c r="T206">
        <v>0.89</v>
      </c>
      <c r="U206">
        <v>0</v>
      </c>
      <c r="V206">
        <v>27.433621705333376</v>
      </c>
    </row>
    <row r="207" spans="1:22" x14ac:dyDescent="0.35">
      <c r="A207" t="s">
        <v>99</v>
      </c>
      <c r="B207" t="s">
        <v>4</v>
      </c>
      <c r="C207" t="s">
        <v>11</v>
      </c>
      <c r="D207">
        <v>0.63</v>
      </c>
      <c r="E207" t="s">
        <v>38</v>
      </c>
      <c r="F207" t="s">
        <v>34</v>
      </c>
      <c r="G207">
        <v>1</v>
      </c>
      <c r="H207">
        <v>14.2549999999999</v>
      </c>
      <c r="I207" t="s">
        <v>45</v>
      </c>
      <c r="J207" s="1">
        <v>45228</v>
      </c>
      <c r="K207">
        <v>40.883506299131099</v>
      </c>
      <c r="L207" s="1">
        <v>45249</v>
      </c>
      <c r="M207" s="1">
        <v>45249</v>
      </c>
      <c r="N207">
        <v>408.83506299131102</v>
      </c>
      <c r="O207">
        <v>0</v>
      </c>
      <c r="P207" t="str">
        <f>IF(Table1[[#This Row],[Delivery Delay]]&gt;0,"Late","On Time")</f>
        <v>On Time</v>
      </c>
      <c r="Q207">
        <v>40.883506299131099</v>
      </c>
      <c r="R207">
        <v>4.8893004750389803E-2</v>
      </c>
      <c r="S207">
        <v>2.4459741605412475E-3</v>
      </c>
      <c r="T207">
        <v>0.63</v>
      </c>
      <c r="U207">
        <v>0</v>
      </c>
      <c r="V207">
        <v>19.951239319824033</v>
      </c>
    </row>
    <row r="208" spans="1:22" x14ac:dyDescent="0.35">
      <c r="A208" t="s">
        <v>103</v>
      </c>
      <c r="B208" t="s">
        <v>6</v>
      </c>
      <c r="C208" t="s">
        <v>11</v>
      </c>
      <c r="D208">
        <v>0.84</v>
      </c>
      <c r="E208" t="s">
        <v>38</v>
      </c>
      <c r="F208" t="s">
        <v>39</v>
      </c>
      <c r="G208">
        <v>0</v>
      </c>
      <c r="H208">
        <v>646.53499999999894</v>
      </c>
      <c r="I208" t="s">
        <v>45</v>
      </c>
      <c r="J208" s="1">
        <v>44236</v>
      </c>
      <c r="K208">
        <v>7.4139567874671002</v>
      </c>
      <c r="L208" s="1">
        <v>44258</v>
      </c>
      <c r="M208" s="1">
        <v>44256</v>
      </c>
      <c r="N208">
        <v>96.381438237072302</v>
      </c>
      <c r="O208">
        <v>-2</v>
      </c>
      <c r="P208" t="str">
        <f>IF(Table1[[#This Row],[Delivery Delay]]&gt;0,"Late","On Time")</f>
        <v>On Time</v>
      </c>
      <c r="Q208">
        <v>7.4139567874671002</v>
      </c>
      <c r="R208">
        <v>0.63884648258212939</v>
      </c>
      <c r="S208">
        <v>1.0375441768572389E-2</v>
      </c>
      <c r="T208">
        <v>0.84</v>
      </c>
      <c r="U208">
        <v>1</v>
      </c>
      <c r="V208">
        <v>58.288192904699756</v>
      </c>
    </row>
    <row r="209" spans="1:22" x14ac:dyDescent="0.35">
      <c r="A209" t="s">
        <v>104</v>
      </c>
      <c r="B209" t="s">
        <v>4</v>
      </c>
      <c r="C209" t="s">
        <v>9</v>
      </c>
      <c r="D209">
        <v>0.7</v>
      </c>
      <c r="E209" t="s">
        <v>38</v>
      </c>
      <c r="F209" t="s">
        <v>39</v>
      </c>
      <c r="G209">
        <v>0</v>
      </c>
      <c r="H209">
        <v>320.952799999999</v>
      </c>
      <c r="I209" t="s">
        <v>50</v>
      </c>
      <c r="J209" s="1">
        <v>45012</v>
      </c>
      <c r="K209">
        <v>10.486540991330401</v>
      </c>
      <c r="L209" s="1">
        <v>45022</v>
      </c>
      <c r="M209" s="1">
        <v>45022</v>
      </c>
      <c r="N209">
        <v>104.86540991330401</v>
      </c>
      <c r="O209">
        <v>0</v>
      </c>
      <c r="P209" t="str">
        <f>IF(Table1[[#This Row],[Delivery Delay]]&gt;0,"Late","On Time")</f>
        <v>On Time</v>
      </c>
      <c r="Q209">
        <v>10.486540991330401</v>
      </c>
      <c r="R209">
        <v>0.42293359308700879</v>
      </c>
      <c r="S209">
        <v>9.5360329094859395E-3</v>
      </c>
      <c r="T209">
        <v>0.7</v>
      </c>
      <c r="U209">
        <v>1</v>
      </c>
      <c r="V209">
        <v>49.744752849024756</v>
      </c>
    </row>
    <row r="210" spans="1:22" x14ac:dyDescent="0.35">
      <c r="A210" t="s">
        <v>105</v>
      </c>
      <c r="B210" t="s">
        <v>6</v>
      </c>
      <c r="C210" t="s">
        <v>9</v>
      </c>
      <c r="D210">
        <v>0.75</v>
      </c>
      <c r="E210" t="s">
        <v>38</v>
      </c>
      <c r="F210" t="s">
        <v>34</v>
      </c>
      <c r="G210">
        <v>1</v>
      </c>
      <c r="H210">
        <v>176.12</v>
      </c>
      <c r="I210" t="s">
        <v>46</v>
      </c>
      <c r="J210" s="1">
        <v>44925</v>
      </c>
      <c r="K210">
        <v>58.466127720452</v>
      </c>
      <c r="L210" s="1">
        <v>44940</v>
      </c>
      <c r="M210" s="1">
        <v>44938</v>
      </c>
      <c r="N210">
        <v>467.729021763616</v>
      </c>
      <c r="O210">
        <v>-2</v>
      </c>
      <c r="P210" t="str">
        <f>IF(Table1[[#This Row],[Delivery Delay]]&gt;0,"Late","On Time")</f>
        <v>On Time</v>
      </c>
      <c r="Q210">
        <v>58.466127720452</v>
      </c>
      <c r="R210">
        <v>0.53029025653378292</v>
      </c>
      <c r="S210">
        <v>2.137990061487753E-3</v>
      </c>
      <c r="T210">
        <v>0.75</v>
      </c>
      <c r="U210">
        <v>0</v>
      </c>
      <c r="V210">
        <v>33.169944832520287</v>
      </c>
    </row>
    <row r="211" spans="1:22" x14ac:dyDescent="0.35">
      <c r="A211" t="s">
        <v>106</v>
      </c>
      <c r="B211" t="s">
        <v>12</v>
      </c>
      <c r="C211" t="s">
        <v>9</v>
      </c>
      <c r="D211">
        <v>0.71</v>
      </c>
      <c r="E211" t="s">
        <v>38</v>
      </c>
      <c r="F211" t="s">
        <v>34</v>
      </c>
      <c r="G211">
        <v>1</v>
      </c>
      <c r="H211">
        <v>140.62439999999901</v>
      </c>
      <c r="I211" t="s">
        <v>49</v>
      </c>
      <c r="J211" s="1">
        <v>44416</v>
      </c>
      <c r="K211">
        <v>6.7526584253754596</v>
      </c>
      <c r="L211" s="1">
        <v>44433</v>
      </c>
      <c r="M211" s="1">
        <v>44436</v>
      </c>
      <c r="N211">
        <v>40.515950552252797</v>
      </c>
      <c r="O211">
        <v>3</v>
      </c>
      <c r="P211" t="str">
        <f>IF(Table1[[#This Row],[Delivery Delay]]&gt;0,"Late","On Time")</f>
        <v>Late</v>
      </c>
      <c r="Q211">
        <v>6.7526584253754658</v>
      </c>
      <c r="R211">
        <v>0.32315235345538151</v>
      </c>
      <c r="S211">
        <v>2.4681637388966487E-2</v>
      </c>
      <c r="T211">
        <v>0.71</v>
      </c>
      <c r="U211">
        <v>0</v>
      </c>
      <c r="V211">
        <v>28.503496190776623</v>
      </c>
    </row>
    <row r="212" spans="1:22" x14ac:dyDescent="0.35">
      <c r="A212" t="s">
        <v>108</v>
      </c>
      <c r="B212" t="s">
        <v>13</v>
      </c>
      <c r="C212" t="s">
        <v>11</v>
      </c>
      <c r="D212">
        <v>0.74</v>
      </c>
      <c r="E212" t="s">
        <v>38</v>
      </c>
      <c r="F212" t="s">
        <v>34</v>
      </c>
      <c r="G212">
        <v>1</v>
      </c>
      <c r="H212">
        <v>474.42149999999998</v>
      </c>
      <c r="I212" t="s">
        <v>50</v>
      </c>
      <c r="J212" s="1">
        <v>45022</v>
      </c>
      <c r="K212">
        <v>59.665750097340499</v>
      </c>
      <c r="L212" s="1">
        <v>45037</v>
      </c>
      <c r="M212" s="1">
        <v>45039</v>
      </c>
      <c r="N212">
        <v>1073.98350175212</v>
      </c>
      <c r="O212">
        <v>2</v>
      </c>
      <c r="P212" t="str">
        <f>IF(Table1[[#This Row],[Delivery Delay]]&gt;0,"Late","On Time")</f>
        <v>Late</v>
      </c>
      <c r="Q212">
        <v>59.665750097340002</v>
      </c>
      <c r="R212">
        <v>0.70105870731164888</v>
      </c>
      <c r="S212">
        <v>9.3111299975146575E-4</v>
      </c>
      <c r="T212">
        <v>0.74</v>
      </c>
      <c r="U212">
        <v>0</v>
      </c>
      <c r="V212">
        <v>36.249107536225523</v>
      </c>
    </row>
    <row r="213" spans="1:22" x14ac:dyDescent="0.35">
      <c r="A213" t="s">
        <v>105</v>
      </c>
      <c r="B213" t="s">
        <v>6</v>
      </c>
      <c r="C213" t="s">
        <v>11</v>
      </c>
      <c r="D213">
        <v>0.88</v>
      </c>
      <c r="E213" t="s">
        <v>36</v>
      </c>
      <c r="F213" t="s">
        <v>34</v>
      </c>
      <c r="G213">
        <v>1</v>
      </c>
      <c r="H213">
        <v>132.81</v>
      </c>
      <c r="I213" t="s">
        <v>49</v>
      </c>
      <c r="J213" s="1">
        <v>45004</v>
      </c>
      <c r="K213">
        <v>15.490176966638399</v>
      </c>
      <c r="L213" s="1">
        <v>45024</v>
      </c>
      <c r="M213" s="1">
        <v>45029</v>
      </c>
      <c r="N213">
        <v>232.352654499576</v>
      </c>
      <c r="O213">
        <v>5</v>
      </c>
      <c r="P213" t="str">
        <f>IF(Table1[[#This Row],[Delivery Delay]]&gt;0,"Late","On Time")</f>
        <v>Late</v>
      </c>
      <c r="Q213">
        <v>15.490176966638399</v>
      </c>
      <c r="R213">
        <v>0.68870566272557565</v>
      </c>
      <c r="S213">
        <v>4.3038027783832561E-3</v>
      </c>
      <c r="T213">
        <v>0.88</v>
      </c>
      <c r="U213">
        <v>0</v>
      </c>
      <c r="V213">
        <v>40.303227337863014</v>
      </c>
    </row>
    <row r="214" spans="1:22" x14ac:dyDescent="0.35">
      <c r="A214" t="s">
        <v>106</v>
      </c>
      <c r="B214" t="s">
        <v>6</v>
      </c>
      <c r="C214" t="s">
        <v>9</v>
      </c>
      <c r="D214">
        <v>0.72</v>
      </c>
      <c r="E214" t="s">
        <v>35</v>
      </c>
      <c r="F214" t="s">
        <v>34</v>
      </c>
      <c r="G214">
        <v>1</v>
      </c>
      <c r="H214">
        <v>36.816499999999998</v>
      </c>
      <c r="I214" t="s">
        <v>49</v>
      </c>
      <c r="J214" s="1">
        <v>45254</v>
      </c>
      <c r="K214">
        <v>3.1006453743756701</v>
      </c>
      <c r="L214" s="1">
        <v>45267</v>
      </c>
      <c r="M214" s="1">
        <v>45264</v>
      </c>
      <c r="N214">
        <v>24.805162995005301</v>
      </c>
      <c r="O214">
        <v>-3</v>
      </c>
      <c r="P214" t="str">
        <f>IF(Table1[[#This Row],[Delivery Delay]]&gt;0,"Late","On Time")</f>
        <v>On Time</v>
      </c>
      <c r="Q214">
        <v>3.1006453743756626</v>
      </c>
      <c r="R214">
        <v>0.38989584491641643</v>
      </c>
      <c r="S214">
        <v>4.0314187824581411E-2</v>
      </c>
      <c r="T214">
        <v>0.72</v>
      </c>
      <c r="U214">
        <v>0</v>
      </c>
      <c r="V214">
        <v>30.607342533065772</v>
      </c>
    </row>
    <row r="215" spans="1:22" x14ac:dyDescent="0.35">
      <c r="A215" t="s">
        <v>108</v>
      </c>
      <c r="B215" t="s">
        <v>14</v>
      </c>
      <c r="C215" t="s">
        <v>5</v>
      </c>
      <c r="D215">
        <v>0.82</v>
      </c>
      <c r="E215" t="s">
        <v>36</v>
      </c>
      <c r="F215" t="s">
        <v>34</v>
      </c>
      <c r="G215">
        <v>1</v>
      </c>
      <c r="H215">
        <v>301.85610000000003</v>
      </c>
      <c r="I215" t="s">
        <v>45</v>
      </c>
      <c r="J215" s="1">
        <v>44711</v>
      </c>
      <c r="K215">
        <v>13.274904997916201</v>
      </c>
      <c r="L215" s="1">
        <v>44721</v>
      </c>
      <c r="M215" s="1">
        <v>44724</v>
      </c>
      <c r="N215">
        <v>106.19923998332899</v>
      </c>
      <c r="O215">
        <v>3</v>
      </c>
      <c r="P215" t="str">
        <f>IF(Table1[[#This Row],[Delivery Delay]]&gt;0,"Late","On Time")</f>
        <v>Late</v>
      </c>
      <c r="Q215">
        <v>13.274904997916124</v>
      </c>
      <c r="R215">
        <v>0.37749655745353988</v>
      </c>
      <c r="S215">
        <v>9.416263244039963E-3</v>
      </c>
      <c r="T215">
        <v>0.82</v>
      </c>
      <c r="U215">
        <v>0</v>
      </c>
      <c r="V215">
        <v>32.432419046391992</v>
      </c>
    </row>
    <row r="216" spans="1:22" x14ac:dyDescent="0.35">
      <c r="A216" t="s">
        <v>107</v>
      </c>
      <c r="B216" t="s">
        <v>6</v>
      </c>
      <c r="C216" t="s">
        <v>7</v>
      </c>
      <c r="D216">
        <v>0.79</v>
      </c>
      <c r="E216" t="s">
        <v>35</v>
      </c>
      <c r="F216" t="s">
        <v>34</v>
      </c>
      <c r="G216">
        <v>1</v>
      </c>
      <c r="H216">
        <v>484.38</v>
      </c>
      <c r="I216" t="s">
        <v>47</v>
      </c>
      <c r="J216" s="1">
        <v>44409</v>
      </c>
      <c r="K216">
        <v>28.413350876486501</v>
      </c>
      <c r="L216" s="1">
        <v>44419</v>
      </c>
      <c r="M216" s="1">
        <v>44423</v>
      </c>
      <c r="N216">
        <v>369.37356139432399</v>
      </c>
      <c r="O216">
        <v>4</v>
      </c>
      <c r="P216" t="str">
        <f>IF(Table1[[#This Row],[Delivery Delay]]&gt;0,"Late","On Time")</f>
        <v>Late</v>
      </c>
      <c r="Q216">
        <v>28.413350876486462</v>
      </c>
      <c r="R216">
        <v>0.44352268981430615</v>
      </c>
      <c r="S216">
        <v>2.7072863477969719E-3</v>
      </c>
      <c r="T216">
        <v>0.79</v>
      </c>
      <c r="U216">
        <v>0</v>
      </c>
      <c r="V216">
        <v>32.65167238672003</v>
      </c>
    </row>
    <row r="217" spans="1:22" x14ac:dyDescent="0.35">
      <c r="A217" t="s">
        <v>100</v>
      </c>
      <c r="B217" t="s">
        <v>6</v>
      </c>
      <c r="C217" t="s">
        <v>11</v>
      </c>
      <c r="D217">
        <v>0.86</v>
      </c>
      <c r="E217" t="s">
        <v>35</v>
      </c>
      <c r="F217" t="s">
        <v>34</v>
      </c>
      <c r="G217">
        <v>1</v>
      </c>
      <c r="H217">
        <v>604.5</v>
      </c>
      <c r="I217" t="s">
        <v>49</v>
      </c>
      <c r="J217" s="1">
        <v>44213</v>
      </c>
      <c r="K217">
        <v>45.796911271827703</v>
      </c>
      <c r="L217" s="1">
        <v>44233</v>
      </c>
      <c r="M217" s="1">
        <v>44239</v>
      </c>
      <c r="N217">
        <v>549.56293526193201</v>
      </c>
      <c r="O217">
        <v>6</v>
      </c>
      <c r="P217" t="str">
        <f>IF(Table1[[#This Row],[Delivery Delay]]&gt;0,"Late","On Time")</f>
        <v>Late</v>
      </c>
      <c r="Q217">
        <v>45.796911271827668</v>
      </c>
      <c r="R217">
        <v>0.70890796509991549</v>
      </c>
      <c r="S217">
        <v>1.8196278093670587E-3</v>
      </c>
      <c r="T217">
        <v>0.86</v>
      </c>
      <c r="U217">
        <v>0</v>
      </c>
      <c r="V217">
        <v>40.032748136279324</v>
      </c>
    </row>
    <row r="218" spans="1:22" x14ac:dyDescent="0.35">
      <c r="A218" t="s">
        <v>101</v>
      </c>
      <c r="B218" t="s">
        <v>8</v>
      </c>
      <c r="C218" t="s">
        <v>11</v>
      </c>
      <c r="D218">
        <v>0.97</v>
      </c>
      <c r="E218" t="s">
        <v>36</v>
      </c>
      <c r="F218" t="s">
        <v>34</v>
      </c>
      <c r="G218">
        <v>1</v>
      </c>
      <c r="H218">
        <v>311.30799999999999</v>
      </c>
      <c r="I218" t="s">
        <v>48</v>
      </c>
      <c r="J218" s="1">
        <v>45228</v>
      </c>
      <c r="K218">
        <v>62.007797204232197</v>
      </c>
      <c r="L218" s="1">
        <v>45241</v>
      </c>
      <c r="M218" s="1">
        <v>45244</v>
      </c>
      <c r="N218">
        <v>868.10916085925101</v>
      </c>
      <c r="O218">
        <v>3</v>
      </c>
      <c r="P218" t="str">
        <f>IF(Table1[[#This Row],[Delivery Delay]]&gt;0,"Late","On Time")</f>
        <v>Late</v>
      </c>
      <c r="Q218">
        <v>62.007797204232212</v>
      </c>
      <c r="R218">
        <v>0.37610848270162905</v>
      </c>
      <c r="S218">
        <v>1.1519288645798923E-3</v>
      </c>
      <c r="T218">
        <v>0.97</v>
      </c>
      <c r="U218">
        <v>0</v>
      </c>
      <c r="V218">
        <v>36.656727519969976</v>
      </c>
    </row>
    <row r="219" spans="1:22" x14ac:dyDescent="0.35">
      <c r="A219" t="s">
        <v>102</v>
      </c>
      <c r="B219" t="s">
        <v>13</v>
      </c>
      <c r="C219" t="s">
        <v>5</v>
      </c>
      <c r="D219">
        <v>0.89</v>
      </c>
      <c r="E219" t="s">
        <v>36</v>
      </c>
      <c r="F219" t="s">
        <v>34</v>
      </c>
      <c r="G219">
        <v>1</v>
      </c>
      <c r="H219">
        <v>21.132000000000101</v>
      </c>
      <c r="I219" t="s">
        <v>45</v>
      </c>
      <c r="J219" s="1">
        <v>44855</v>
      </c>
      <c r="K219">
        <v>54.5676062196017</v>
      </c>
      <c r="L219" s="1">
        <v>44870</v>
      </c>
      <c r="M219" s="1">
        <v>44868</v>
      </c>
      <c r="N219">
        <v>873.08169951362697</v>
      </c>
      <c r="O219">
        <v>-2</v>
      </c>
      <c r="P219" t="str">
        <f>IF(Table1[[#This Row],[Delivery Delay]]&gt;0,"Late","On Time")</f>
        <v>On Time</v>
      </c>
      <c r="Q219">
        <v>54.567606219601686</v>
      </c>
      <c r="R219">
        <v>3.3183526951016298E-2</v>
      </c>
      <c r="S219">
        <v>1.1453681832491462E-3</v>
      </c>
      <c r="T219">
        <v>0.89</v>
      </c>
      <c r="U219">
        <v>0</v>
      </c>
      <c r="V219">
        <v>27.398031584517803</v>
      </c>
    </row>
    <row r="220" spans="1:22" x14ac:dyDescent="0.35">
      <c r="A220" t="s">
        <v>99</v>
      </c>
      <c r="B220" t="s">
        <v>12</v>
      </c>
      <c r="C220" t="s">
        <v>5</v>
      </c>
      <c r="D220">
        <v>0.68</v>
      </c>
      <c r="E220" t="s">
        <v>37</v>
      </c>
      <c r="F220" t="s">
        <v>34</v>
      </c>
      <c r="G220">
        <v>1</v>
      </c>
      <c r="H220">
        <v>441.9</v>
      </c>
      <c r="I220" t="s">
        <v>46</v>
      </c>
      <c r="J220" s="1">
        <v>44239</v>
      </c>
      <c r="K220">
        <v>18.335071763589202</v>
      </c>
      <c r="L220" s="1">
        <v>44255</v>
      </c>
      <c r="M220" s="1">
        <v>44260</v>
      </c>
      <c r="N220">
        <v>165.015645872303</v>
      </c>
      <c r="O220">
        <v>5</v>
      </c>
      <c r="P220" t="str">
        <f>IF(Table1[[#This Row],[Delivery Delay]]&gt;0,"Late","On Time")</f>
        <v>Late</v>
      </c>
      <c r="Q220">
        <v>18.335071763589223</v>
      </c>
      <c r="R220">
        <v>0.57651663405088061</v>
      </c>
      <c r="S220">
        <v>6.0600314274068768E-3</v>
      </c>
      <c r="T220">
        <v>0.68</v>
      </c>
      <c r="U220">
        <v>0</v>
      </c>
      <c r="V220">
        <v>32.112133623839824</v>
      </c>
    </row>
    <row r="221" spans="1:22" x14ac:dyDescent="0.35">
      <c r="A221" t="s">
        <v>103</v>
      </c>
      <c r="B221" t="s">
        <v>10</v>
      </c>
      <c r="C221" t="s">
        <v>9</v>
      </c>
      <c r="D221">
        <v>0.61</v>
      </c>
      <c r="E221" t="s">
        <v>35</v>
      </c>
      <c r="F221" t="s">
        <v>34</v>
      </c>
      <c r="G221">
        <v>1</v>
      </c>
      <c r="H221">
        <v>675.27719999999999</v>
      </c>
      <c r="I221" t="s">
        <v>47</v>
      </c>
      <c r="J221" s="1">
        <v>44726</v>
      </c>
      <c r="K221">
        <v>79.2843615776967</v>
      </c>
      <c r="L221" s="1">
        <v>44742</v>
      </c>
      <c r="M221" s="1">
        <v>44747</v>
      </c>
      <c r="N221">
        <v>713.55925419926996</v>
      </c>
      <c r="O221">
        <v>5</v>
      </c>
      <c r="P221" t="str">
        <f>IF(Table1[[#This Row],[Delivery Delay]]&gt;0,"Late","On Time")</f>
        <v>Late</v>
      </c>
      <c r="Q221">
        <v>79.284361577696657</v>
      </c>
      <c r="R221">
        <v>0.82933720051110404</v>
      </c>
      <c r="S221">
        <v>1.4014253113739845E-3</v>
      </c>
      <c r="T221">
        <v>0.61</v>
      </c>
      <c r="U221">
        <v>0</v>
      </c>
      <c r="V221">
        <v>34.928786769563303</v>
      </c>
    </row>
    <row r="222" spans="1:22" x14ac:dyDescent="0.35">
      <c r="A222" t="s">
        <v>104</v>
      </c>
      <c r="B222" t="s">
        <v>14</v>
      </c>
      <c r="C222" t="s">
        <v>9</v>
      </c>
      <c r="D222">
        <v>0.7</v>
      </c>
      <c r="E222" t="s">
        <v>38</v>
      </c>
      <c r="F222" t="s">
        <v>34</v>
      </c>
      <c r="G222">
        <v>1</v>
      </c>
      <c r="H222">
        <v>562.67399999999998</v>
      </c>
      <c r="I222" t="s">
        <v>48</v>
      </c>
      <c r="J222" s="1">
        <v>45235</v>
      </c>
      <c r="K222">
        <v>42.930627967548602</v>
      </c>
      <c r="L222" s="1">
        <v>45250</v>
      </c>
      <c r="M222" s="1">
        <v>45249</v>
      </c>
      <c r="N222">
        <v>214.653139837743</v>
      </c>
      <c r="O222">
        <v>-1</v>
      </c>
      <c r="P222" t="str">
        <f>IF(Table1[[#This Row],[Delivery Delay]]&gt;0,"Late","On Time")</f>
        <v>On Time</v>
      </c>
      <c r="Q222">
        <v>42.930627967548602</v>
      </c>
      <c r="R222">
        <v>0.39369196151198133</v>
      </c>
      <c r="S222">
        <v>4.658678651315808E-3</v>
      </c>
      <c r="T222">
        <v>0.7</v>
      </c>
      <c r="U222">
        <v>0</v>
      </c>
      <c r="V222">
        <v>29.013599589779098</v>
      </c>
    </row>
    <row r="223" spans="1:22" x14ac:dyDescent="0.35">
      <c r="A223" t="s">
        <v>105</v>
      </c>
      <c r="B223" t="s">
        <v>8</v>
      </c>
      <c r="C223" t="s">
        <v>7</v>
      </c>
      <c r="D223">
        <v>0.83</v>
      </c>
      <c r="E223" t="s">
        <v>35</v>
      </c>
      <c r="F223" t="s">
        <v>34</v>
      </c>
      <c r="G223">
        <v>1</v>
      </c>
      <c r="H223">
        <v>4.1814000000000204</v>
      </c>
      <c r="I223" t="s">
        <v>48</v>
      </c>
      <c r="J223" s="1">
        <v>44639</v>
      </c>
      <c r="K223">
        <v>40.441281418788002</v>
      </c>
      <c r="L223" s="1">
        <v>44650</v>
      </c>
      <c r="M223" s="1">
        <v>44652</v>
      </c>
      <c r="N223">
        <v>363.97153276909199</v>
      </c>
      <c r="O223">
        <v>2</v>
      </c>
      <c r="P223" t="str">
        <f>IF(Table1[[#This Row],[Delivery Delay]]&gt;0,"Late","On Time")</f>
        <v>Late</v>
      </c>
      <c r="Q223">
        <v>40.441281418788002</v>
      </c>
      <c r="R223">
        <v>2.109140212881231E-2</v>
      </c>
      <c r="S223">
        <v>2.7474676175689057E-3</v>
      </c>
      <c r="T223">
        <v>0.83</v>
      </c>
      <c r="U223">
        <v>0</v>
      </c>
      <c r="V223">
        <v>25.404252071103311</v>
      </c>
    </row>
    <row r="224" spans="1:22" x14ac:dyDescent="0.35">
      <c r="A224" t="s">
        <v>106</v>
      </c>
      <c r="B224" t="s">
        <v>15</v>
      </c>
      <c r="C224" t="s">
        <v>7</v>
      </c>
      <c r="D224">
        <v>0.62</v>
      </c>
      <c r="E224" t="s">
        <v>37</v>
      </c>
      <c r="F224" t="s">
        <v>34</v>
      </c>
      <c r="G224">
        <v>1</v>
      </c>
      <c r="H224">
        <v>54.955999999999896</v>
      </c>
      <c r="I224" t="s">
        <v>46</v>
      </c>
      <c r="J224" s="1">
        <v>44950</v>
      </c>
      <c r="K224">
        <v>24.5000992382977</v>
      </c>
      <c r="L224" s="1">
        <v>44971</v>
      </c>
      <c r="M224" s="1">
        <v>44973</v>
      </c>
      <c r="N224">
        <v>196.000793906382</v>
      </c>
      <c r="O224">
        <v>2</v>
      </c>
      <c r="P224" t="str">
        <f>IF(Table1[[#This Row],[Delivery Delay]]&gt;0,"Late","On Time")</f>
        <v>Late</v>
      </c>
      <c r="Q224">
        <v>24.50009923829775</v>
      </c>
      <c r="R224">
        <v>0.27379979672771559</v>
      </c>
      <c r="S224">
        <v>5.1020201503757219E-3</v>
      </c>
      <c r="T224">
        <v>0.62</v>
      </c>
      <c r="U224">
        <v>0</v>
      </c>
      <c r="V224">
        <v>24.229056539065581</v>
      </c>
    </row>
    <row r="225" spans="1:22" x14ac:dyDescent="0.35">
      <c r="A225" t="s">
        <v>108</v>
      </c>
      <c r="B225" t="s">
        <v>13</v>
      </c>
      <c r="C225" t="s">
        <v>9</v>
      </c>
      <c r="D225">
        <v>0.79</v>
      </c>
      <c r="E225" t="s">
        <v>37</v>
      </c>
      <c r="F225" t="s">
        <v>34</v>
      </c>
      <c r="G225">
        <v>1</v>
      </c>
      <c r="H225">
        <v>180.756</v>
      </c>
      <c r="I225" t="s">
        <v>47</v>
      </c>
      <c r="J225" s="1">
        <v>44697</v>
      </c>
      <c r="K225">
        <v>15.4106319368172</v>
      </c>
      <c r="L225" s="1">
        <v>44717</v>
      </c>
      <c r="M225" s="1">
        <v>44718</v>
      </c>
      <c r="N225">
        <v>184.92758324180599</v>
      </c>
      <c r="O225">
        <v>1</v>
      </c>
      <c r="P225" t="str">
        <f>IF(Table1[[#This Row],[Delivery Delay]]&gt;0,"Late","On Time")</f>
        <v>Late</v>
      </c>
      <c r="Q225">
        <v>15.410631936817166</v>
      </c>
      <c r="R225">
        <v>0.31065418247813892</v>
      </c>
      <c r="S225">
        <v>5.4075221363404117E-3</v>
      </c>
      <c r="T225">
        <v>0.79</v>
      </c>
      <c r="U225">
        <v>0</v>
      </c>
      <c r="V225">
        <v>30.075309313652987</v>
      </c>
    </row>
    <row r="226" spans="1:22" x14ac:dyDescent="0.35">
      <c r="A226" t="s">
        <v>107</v>
      </c>
      <c r="B226" t="s">
        <v>12</v>
      </c>
      <c r="C226" t="s">
        <v>9</v>
      </c>
      <c r="D226">
        <v>0.83</v>
      </c>
      <c r="E226" t="s">
        <v>35</v>
      </c>
      <c r="F226" t="s">
        <v>34</v>
      </c>
      <c r="G226">
        <v>1</v>
      </c>
      <c r="H226">
        <v>471.14400000000001</v>
      </c>
      <c r="I226" t="s">
        <v>45</v>
      </c>
      <c r="J226" s="1">
        <v>44674</v>
      </c>
      <c r="K226">
        <v>70.376306790458699</v>
      </c>
      <c r="L226" s="1">
        <v>44697</v>
      </c>
      <c r="M226" s="1">
        <v>44698</v>
      </c>
      <c r="N226">
        <v>1055.6446018568799</v>
      </c>
      <c r="O226">
        <v>1</v>
      </c>
      <c r="P226" t="str">
        <f>IF(Table1[[#This Row],[Delivery Delay]]&gt;0,"Late","On Time")</f>
        <v>Late</v>
      </c>
      <c r="Q226">
        <v>70.376306790458656</v>
      </c>
      <c r="R226">
        <v>0.65995427956700059</v>
      </c>
      <c r="S226">
        <v>9.4728850812195598E-4</v>
      </c>
      <c r="T226">
        <v>0.83</v>
      </c>
      <c r="U226">
        <v>0</v>
      </c>
      <c r="V226">
        <v>38.127504246583669</v>
      </c>
    </row>
    <row r="227" spans="1:22" x14ac:dyDescent="0.35">
      <c r="A227" t="s">
        <v>100</v>
      </c>
      <c r="B227" t="s">
        <v>12</v>
      </c>
      <c r="C227" t="s">
        <v>11</v>
      </c>
      <c r="D227">
        <v>0.73</v>
      </c>
      <c r="E227" t="s">
        <v>37</v>
      </c>
      <c r="F227" t="s">
        <v>39</v>
      </c>
      <c r="G227">
        <v>0</v>
      </c>
      <c r="H227">
        <v>390.9</v>
      </c>
      <c r="I227" t="s">
        <v>51</v>
      </c>
      <c r="J227" s="1">
        <v>44350</v>
      </c>
      <c r="K227">
        <v>3.7641489462887798</v>
      </c>
      <c r="L227" s="1">
        <v>44370</v>
      </c>
      <c r="M227" s="1">
        <v>44368</v>
      </c>
      <c r="N227">
        <v>33.877340516598998</v>
      </c>
      <c r="O227">
        <v>-2</v>
      </c>
      <c r="P227" t="str">
        <f>IF(Table1[[#This Row],[Delivery Delay]]&gt;0,"Late","On Time")</f>
        <v>On Time</v>
      </c>
      <c r="Q227">
        <v>3.7641489462887776</v>
      </c>
      <c r="R227">
        <v>0.68550084175084169</v>
      </c>
      <c r="S227">
        <v>2.9518255705757852E-2</v>
      </c>
      <c r="T227">
        <v>0.73</v>
      </c>
      <c r="U227">
        <v>1</v>
      </c>
      <c r="V227">
        <v>56.495564506189581</v>
      </c>
    </row>
    <row r="228" spans="1:22" x14ac:dyDescent="0.35">
      <c r="A228" t="s">
        <v>101</v>
      </c>
      <c r="B228" t="s">
        <v>15</v>
      </c>
      <c r="C228" t="s">
        <v>9</v>
      </c>
      <c r="D228">
        <v>0.9</v>
      </c>
      <c r="E228" t="s">
        <v>35</v>
      </c>
      <c r="F228" t="s">
        <v>39</v>
      </c>
      <c r="G228">
        <v>0</v>
      </c>
      <c r="H228">
        <v>635.36</v>
      </c>
      <c r="I228" t="s">
        <v>47</v>
      </c>
      <c r="J228" s="1">
        <v>45253</v>
      </c>
      <c r="K228">
        <v>35.874447734499299</v>
      </c>
      <c r="L228" s="1">
        <v>45274</v>
      </c>
      <c r="M228" s="1">
        <v>45275</v>
      </c>
      <c r="N228">
        <v>645.74005922098797</v>
      </c>
      <c r="O228">
        <v>1</v>
      </c>
      <c r="P228" t="str">
        <f>IF(Table1[[#This Row],[Delivery Delay]]&gt;0,"Late","On Time")</f>
        <v>Late</v>
      </c>
      <c r="Q228">
        <v>35.874447734499334</v>
      </c>
      <c r="R228">
        <v>0.38047331608699819</v>
      </c>
      <c r="S228">
        <v>1.5486107540027584E-3</v>
      </c>
      <c r="T228">
        <v>0.9</v>
      </c>
      <c r="U228">
        <v>1</v>
      </c>
      <c r="V228">
        <v>54.655924644360056</v>
      </c>
    </row>
    <row r="229" spans="1:22" x14ac:dyDescent="0.35">
      <c r="A229" t="s">
        <v>102</v>
      </c>
      <c r="B229" t="s">
        <v>10</v>
      </c>
      <c r="C229" t="s">
        <v>11</v>
      </c>
      <c r="D229">
        <v>0.64</v>
      </c>
      <c r="E229" t="s">
        <v>37</v>
      </c>
      <c r="F229" t="s">
        <v>34</v>
      </c>
      <c r="G229">
        <v>1</v>
      </c>
      <c r="H229">
        <v>263.26319999999902</v>
      </c>
      <c r="I229" t="s">
        <v>46</v>
      </c>
      <c r="J229" s="1">
        <v>44862</v>
      </c>
      <c r="K229">
        <v>44.928217988180698</v>
      </c>
      <c r="L229" s="1">
        <v>44879</v>
      </c>
      <c r="M229" s="1">
        <v>44879</v>
      </c>
      <c r="N229">
        <v>359.42574390544598</v>
      </c>
      <c r="O229">
        <v>0</v>
      </c>
      <c r="P229" t="str">
        <f>IF(Table1[[#This Row],[Delivery Delay]]&gt;0,"Late","On Time")</f>
        <v>On Time</v>
      </c>
      <c r="Q229">
        <v>44.928217988180748</v>
      </c>
      <c r="R229">
        <v>0.3213571100037198</v>
      </c>
      <c r="S229">
        <v>2.7822158455713449E-3</v>
      </c>
      <c r="T229">
        <v>0.64</v>
      </c>
      <c r="U229">
        <v>0</v>
      </c>
      <c r="V229">
        <v>25.710608675441538</v>
      </c>
    </row>
    <row r="230" spans="1:22" x14ac:dyDescent="0.35">
      <c r="A230" t="s">
        <v>99</v>
      </c>
      <c r="B230" t="s">
        <v>6</v>
      </c>
      <c r="C230" t="s">
        <v>5</v>
      </c>
      <c r="D230">
        <v>0.63</v>
      </c>
      <c r="E230" t="s">
        <v>38</v>
      </c>
      <c r="F230" t="s">
        <v>34</v>
      </c>
      <c r="G230">
        <v>1</v>
      </c>
      <c r="H230">
        <v>145.45679999999899</v>
      </c>
      <c r="I230" t="s">
        <v>48</v>
      </c>
      <c r="J230" s="1">
        <v>44592</v>
      </c>
      <c r="K230">
        <v>6.1297057151461498</v>
      </c>
      <c r="L230" s="1">
        <v>44609</v>
      </c>
      <c r="M230" s="1">
        <v>44610</v>
      </c>
      <c r="N230">
        <v>85.815880012046094</v>
      </c>
      <c r="O230">
        <v>1</v>
      </c>
      <c r="P230" t="str">
        <f>IF(Table1[[#This Row],[Delivery Delay]]&gt;0,"Late","On Time")</f>
        <v>Late</v>
      </c>
      <c r="Q230">
        <v>6.1297057151461498</v>
      </c>
      <c r="R230">
        <v>0.2478236157623768</v>
      </c>
      <c r="S230">
        <v>1.165285492451547E-2</v>
      </c>
      <c r="T230">
        <v>0.63</v>
      </c>
      <c r="U230">
        <v>0</v>
      </c>
      <c r="V230">
        <v>24.206057962983003</v>
      </c>
    </row>
    <row r="231" spans="1:22" x14ac:dyDescent="0.35">
      <c r="A231" t="s">
        <v>103</v>
      </c>
      <c r="B231" t="s">
        <v>8</v>
      </c>
      <c r="C231" t="s">
        <v>9</v>
      </c>
      <c r="D231">
        <v>0.88</v>
      </c>
      <c r="E231" t="s">
        <v>36</v>
      </c>
      <c r="F231" t="s">
        <v>34</v>
      </c>
      <c r="G231">
        <v>1</v>
      </c>
      <c r="H231">
        <v>-76.881600000000006</v>
      </c>
      <c r="I231" t="s">
        <v>45</v>
      </c>
      <c r="J231" s="1">
        <v>44268</v>
      </c>
      <c r="K231">
        <v>17.703870518930799</v>
      </c>
      <c r="L231" s="1">
        <v>44286</v>
      </c>
      <c r="M231" s="1">
        <v>44291</v>
      </c>
      <c r="N231">
        <v>300.96579882182402</v>
      </c>
      <c r="O231">
        <v>5</v>
      </c>
      <c r="P231" t="str">
        <f>IF(Table1[[#This Row],[Delivery Delay]]&gt;0,"Late","On Time")</f>
        <v>Late</v>
      </c>
      <c r="Q231">
        <v>17.703870518930824</v>
      </c>
      <c r="R231">
        <v>0</v>
      </c>
      <c r="S231">
        <v>3.3226366713914029E-3</v>
      </c>
      <c r="T231">
        <v>0.88</v>
      </c>
      <c r="U231">
        <v>0</v>
      </c>
      <c r="V231">
        <v>26.499679100141744</v>
      </c>
    </row>
    <row r="232" spans="1:22" x14ac:dyDescent="0.35">
      <c r="A232" t="s">
        <v>104</v>
      </c>
      <c r="B232" t="s">
        <v>4</v>
      </c>
      <c r="C232" t="s">
        <v>5</v>
      </c>
      <c r="D232">
        <v>0.79</v>
      </c>
      <c r="E232" t="s">
        <v>37</v>
      </c>
      <c r="F232" t="s">
        <v>34</v>
      </c>
      <c r="G232">
        <v>1</v>
      </c>
      <c r="H232">
        <v>639.527999999999</v>
      </c>
      <c r="I232" t="s">
        <v>47</v>
      </c>
      <c r="J232" s="1">
        <v>44387</v>
      </c>
      <c r="K232">
        <v>7.4214887223685899</v>
      </c>
      <c r="L232" s="1">
        <v>44403</v>
      </c>
      <c r="M232" s="1">
        <v>44406</v>
      </c>
      <c r="N232">
        <v>81.6363759460545</v>
      </c>
      <c r="O232">
        <v>3</v>
      </c>
      <c r="P232" t="str">
        <f>IF(Table1[[#This Row],[Delivery Delay]]&gt;0,"Late","On Time")</f>
        <v>Late</v>
      </c>
      <c r="Q232">
        <v>7.4214887223685908</v>
      </c>
      <c r="R232">
        <v>0.51207794453946154</v>
      </c>
      <c r="S232">
        <v>1.2249441360072159E-2</v>
      </c>
      <c r="T232">
        <v>0.79</v>
      </c>
      <c r="U232">
        <v>0</v>
      </c>
      <c r="V232">
        <v>34.309042131591397</v>
      </c>
    </row>
    <row r="233" spans="1:22" x14ac:dyDescent="0.35">
      <c r="A233" t="s">
        <v>105</v>
      </c>
      <c r="B233" t="s">
        <v>14</v>
      </c>
      <c r="C233" t="s">
        <v>7</v>
      </c>
      <c r="D233">
        <v>0.87</v>
      </c>
      <c r="E233" t="s">
        <v>38</v>
      </c>
      <c r="F233" t="s">
        <v>34</v>
      </c>
      <c r="G233">
        <v>1</v>
      </c>
      <c r="H233">
        <v>76.166399999999797</v>
      </c>
      <c r="I233" t="s">
        <v>51</v>
      </c>
      <c r="J233" s="1">
        <v>44679</v>
      </c>
      <c r="K233">
        <v>79.004608350252894</v>
      </c>
      <c r="L233" s="1">
        <v>44703</v>
      </c>
      <c r="M233" s="1">
        <v>44707</v>
      </c>
      <c r="N233">
        <v>1027.0599085532799</v>
      </c>
      <c r="O233">
        <v>4</v>
      </c>
      <c r="P233" t="str">
        <f>IF(Table1[[#This Row],[Delivery Delay]]&gt;0,"Late","On Time")</f>
        <v>Late</v>
      </c>
      <c r="Q233">
        <v>79.004608350252298</v>
      </c>
      <c r="R233">
        <v>7.5546435729827291E-2</v>
      </c>
      <c r="S233">
        <v>9.7365303783359964E-4</v>
      </c>
      <c r="T233">
        <v>0.87</v>
      </c>
      <c r="U233">
        <v>0</v>
      </c>
      <c r="V233">
        <v>27.640138305731554</v>
      </c>
    </row>
    <row r="234" spans="1:22" x14ac:dyDescent="0.35">
      <c r="A234" t="s">
        <v>106</v>
      </c>
      <c r="B234" t="s">
        <v>4</v>
      </c>
      <c r="C234" t="s">
        <v>7</v>
      </c>
      <c r="D234">
        <v>0.77</v>
      </c>
      <c r="E234" t="s">
        <v>36</v>
      </c>
      <c r="F234" t="s">
        <v>34</v>
      </c>
      <c r="G234">
        <v>1</v>
      </c>
      <c r="H234">
        <v>440.04239999999999</v>
      </c>
      <c r="I234" t="s">
        <v>51</v>
      </c>
      <c r="J234" s="1">
        <v>44979</v>
      </c>
      <c r="K234">
        <v>57.363984403978698</v>
      </c>
      <c r="L234" s="1">
        <v>44990</v>
      </c>
      <c r="M234" s="1">
        <v>44994</v>
      </c>
      <c r="N234">
        <v>860.45976605967996</v>
      </c>
      <c r="O234">
        <v>4</v>
      </c>
      <c r="P234" t="str">
        <f>IF(Table1[[#This Row],[Delivery Delay]]&gt;0,"Late","On Time")</f>
        <v>Late</v>
      </c>
      <c r="Q234">
        <v>57.363984403978662</v>
      </c>
      <c r="R234">
        <v>0.89058948104684377</v>
      </c>
      <c r="S234">
        <v>1.1621693883251732E-3</v>
      </c>
      <c r="T234">
        <v>0.77</v>
      </c>
      <c r="U234">
        <v>0</v>
      </c>
      <c r="V234">
        <v>40.946654702586628</v>
      </c>
    </row>
    <row r="235" spans="1:22" x14ac:dyDescent="0.35">
      <c r="A235" t="s">
        <v>108</v>
      </c>
      <c r="B235" t="s">
        <v>15</v>
      </c>
      <c r="C235" t="s">
        <v>9</v>
      </c>
      <c r="D235">
        <v>0.7</v>
      </c>
      <c r="E235" t="s">
        <v>37</v>
      </c>
      <c r="F235" t="s">
        <v>34</v>
      </c>
      <c r="G235">
        <v>1</v>
      </c>
      <c r="H235">
        <v>26.554499999999901</v>
      </c>
      <c r="I235" t="s">
        <v>49</v>
      </c>
      <c r="J235" s="1">
        <v>45290</v>
      </c>
      <c r="K235">
        <v>57.390769986272801</v>
      </c>
      <c r="L235" s="1">
        <v>45309</v>
      </c>
      <c r="M235" s="1">
        <v>45312</v>
      </c>
      <c r="N235">
        <v>401.73538990390898</v>
      </c>
      <c r="O235">
        <v>3</v>
      </c>
      <c r="P235" t="str">
        <f>IF(Table1[[#This Row],[Delivery Delay]]&gt;0,"Late","On Time")</f>
        <v>Late</v>
      </c>
      <c r="Q235">
        <v>57.390769986272709</v>
      </c>
      <c r="R235">
        <v>0.39088386607688141</v>
      </c>
      <c r="S235">
        <v>2.4892006657396795E-3</v>
      </c>
      <c r="T235">
        <v>0.7</v>
      </c>
      <c r="U235">
        <v>0</v>
      </c>
      <c r="V235">
        <v>28.892353341509818</v>
      </c>
    </row>
    <row r="236" spans="1:22" x14ac:dyDescent="0.35">
      <c r="A236" t="s">
        <v>101</v>
      </c>
      <c r="B236" t="s">
        <v>12</v>
      </c>
      <c r="C236" t="s">
        <v>9</v>
      </c>
      <c r="D236">
        <v>0.92</v>
      </c>
      <c r="E236" t="s">
        <v>37</v>
      </c>
      <c r="F236" t="s">
        <v>34</v>
      </c>
      <c r="G236">
        <v>1</v>
      </c>
      <c r="H236">
        <v>290.64640000000003</v>
      </c>
      <c r="I236" t="s">
        <v>49</v>
      </c>
      <c r="J236" s="1">
        <v>45315</v>
      </c>
      <c r="K236">
        <v>66.2739350437148</v>
      </c>
      <c r="L236" s="1">
        <v>45328</v>
      </c>
      <c r="M236" s="1">
        <v>45325</v>
      </c>
      <c r="N236">
        <v>729.01328548086201</v>
      </c>
      <c r="O236">
        <v>-3</v>
      </c>
      <c r="P236" t="str">
        <f>IF(Table1[[#This Row],[Delivery Delay]]&gt;0,"Late","On Time")</f>
        <v>On Time</v>
      </c>
      <c r="Q236">
        <v>66.273935043714729</v>
      </c>
      <c r="R236">
        <v>0.36330509355925156</v>
      </c>
      <c r="S236">
        <v>1.3717171139623243E-3</v>
      </c>
      <c r="T236">
        <v>0.92</v>
      </c>
      <c r="U236">
        <v>0</v>
      </c>
      <c r="V236">
        <v>34.907253384603905</v>
      </c>
    </row>
    <row r="237" spans="1:22" x14ac:dyDescent="0.35">
      <c r="A237" t="s">
        <v>102</v>
      </c>
      <c r="B237" t="s">
        <v>10</v>
      </c>
      <c r="C237" t="s">
        <v>5</v>
      </c>
      <c r="D237">
        <v>0.91</v>
      </c>
      <c r="E237" t="s">
        <v>36</v>
      </c>
      <c r="F237" t="s">
        <v>34</v>
      </c>
      <c r="G237">
        <v>1</v>
      </c>
      <c r="H237">
        <v>891.81629999999996</v>
      </c>
      <c r="I237" t="s">
        <v>50</v>
      </c>
      <c r="J237" s="1">
        <v>44508</v>
      </c>
      <c r="K237">
        <v>65.332537158843607</v>
      </c>
      <c r="L237" s="1">
        <v>44525</v>
      </c>
      <c r="M237" s="1">
        <v>44524</v>
      </c>
      <c r="N237">
        <v>653.32537158843604</v>
      </c>
      <c r="O237">
        <v>-1</v>
      </c>
      <c r="P237" t="str">
        <f>IF(Table1[[#This Row],[Delivery Delay]]&gt;0,"Late","On Time")</f>
        <v>On Time</v>
      </c>
      <c r="Q237">
        <v>65.332537158843607</v>
      </c>
      <c r="R237">
        <v>0.66709460774050477</v>
      </c>
      <c r="S237">
        <v>1.5306308976929684E-3</v>
      </c>
      <c r="T237">
        <v>0.91</v>
      </c>
      <c r="U237">
        <v>0</v>
      </c>
      <c r="V237">
        <v>40.68781108174089</v>
      </c>
    </row>
    <row r="238" spans="1:22" x14ac:dyDescent="0.35">
      <c r="A238" t="s">
        <v>99</v>
      </c>
      <c r="B238" t="s">
        <v>12</v>
      </c>
      <c r="C238" t="s">
        <v>11</v>
      </c>
      <c r="D238">
        <v>0.87</v>
      </c>
      <c r="E238" t="s">
        <v>38</v>
      </c>
      <c r="F238" t="s">
        <v>34</v>
      </c>
      <c r="G238">
        <v>1</v>
      </c>
      <c r="H238">
        <v>353.78399999999999</v>
      </c>
      <c r="I238" t="s">
        <v>46</v>
      </c>
      <c r="J238" s="1">
        <v>44784</v>
      </c>
      <c r="K238">
        <v>13.002941919474701</v>
      </c>
      <c r="L238" s="1">
        <v>44807</v>
      </c>
      <c r="M238" s="1">
        <v>44807</v>
      </c>
      <c r="N238">
        <v>130.02941919474699</v>
      </c>
      <c r="O238">
        <v>0</v>
      </c>
      <c r="P238" t="str">
        <f>IF(Table1[[#This Row],[Delivery Delay]]&gt;0,"Late","On Time")</f>
        <v>On Time</v>
      </c>
      <c r="Q238">
        <v>13.002941919474699</v>
      </c>
      <c r="R238">
        <v>0.78447128944707578</v>
      </c>
      <c r="S238">
        <v>7.6905673054055955E-3</v>
      </c>
      <c r="T238">
        <v>0.87</v>
      </c>
      <c r="U238">
        <v>0</v>
      </c>
      <c r="V238">
        <v>42.020142808103685</v>
      </c>
    </row>
    <row r="239" spans="1:22" x14ac:dyDescent="0.35">
      <c r="A239" t="s">
        <v>103</v>
      </c>
      <c r="B239" t="s">
        <v>14</v>
      </c>
      <c r="C239" t="s">
        <v>7</v>
      </c>
      <c r="D239">
        <v>0.71</v>
      </c>
      <c r="E239" t="s">
        <v>38</v>
      </c>
      <c r="F239" t="s">
        <v>34</v>
      </c>
      <c r="G239">
        <v>1</v>
      </c>
      <c r="H239">
        <v>220.298</v>
      </c>
      <c r="I239" t="s">
        <v>47</v>
      </c>
      <c r="J239" s="1">
        <v>44392</v>
      </c>
      <c r="K239">
        <v>72.135650986559497</v>
      </c>
      <c r="L239" s="1">
        <v>44413</v>
      </c>
      <c r="M239" s="1">
        <v>44413</v>
      </c>
      <c r="N239">
        <v>721.35650986559494</v>
      </c>
      <c r="O239">
        <v>0</v>
      </c>
      <c r="P239" t="str">
        <f>IF(Table1[[#This Row],[Delivery Delay]]&gt;0,"Late","On Time")</f>
        <v>On Time</v>
      </c>
      <c r="Q239">
        <v>72.135650986559497</v>
      </c>
      <c r="R239">
        <v>0.26236946911086551</v>
      </c>
      <c r="S239">
        <v>1.3862770853573119E-3</v>
      </c>
      <c r="T239">
        <v>0.71</v>
      </c>
      <c r="U239">
        <v>0</v>
      </c>
      <c r="V239">
        <v>26.588977694778027</v>
      </c>
    </row>
    <row r="240" spans="1:22" x14ac:dyDescent="0.35">
      <c r="A240" t="s">
        <v>104</v>
      </c>
      <c r="B240" t="s">
        <v>12</v>
      </c>
      <c r="C240" t="s">
        <v>7</v>
      </c>
      <c r="D240">
        <v>0.83</v>
      </c>
      <c r="E240" t="s">
        <v>38</v>
      </c>
      <c r="F240" t="s">
        <v>34</v>
      </c>
      <c r="G240">
        <v>1</v>
      </c>
      <c r="H240">
        <v>677.74949999999899</v>
      </c>
      <c r="I240" t="s">
        <v>47</v>
      </c>
      <c r="J240" s="1">
        <v>44284</v>
      </c>
      <c r="K240">
        <v>13.5759056428774</v>
      </c>
      <c r="L240" s="1">
        <v>44301</v>
      </c>
      <c r="M240" s="1">
        <v>44300</v>
      </c>
      <c r="N240">
        <v>162.91086771452899</v>
      </c>
      <c r="O240">
        <v>-1</v>
      </c>
      <c r="P240" t="str">
        <f>IF(Table1[[#This Row],[Delivery Delay]]&gt;0,"Late","On Time")</f>
        <v>On Time</v>
      </c>
      <c r="Q240">
        <v>13.575905642877416</v>
      </c>
      <c r="R240">
        <v>0.72529280608529301</v>
      </c>
      <c r="S240">
        <v>6.138325908080694E-3</v>
      </c>
      <c r="T240">
        <v>0.83</v>
      </c>
      <c r="U240">
        <v>0</v>
      </c>
      <c r="V240">
        <v>39.590005898948277</v>
      </c>
    </row>
    <row r="241" spans="1:22" x14ac:dyDescent="0.35">
      <c r="A241" t="s">
        <v>105</v>
      </c>
      <c r="B241" t="s">
        <v>12</v>
      </c>
      <c r="C241" t="s">
        <v>11</v>
      </c>
      <c r="D241">
        <v>0.74</v>
      </c>
      <c r="E241" t="s">
        <v>35</v>
      </c>
      <c r="F241" t="s">
        <v>34</v>
      </c>
      <c r="G241">
        <v>1</v>
      </c>
      <c r="H241">
        <v>-1.71800000000001</v>
      </c>
      <c r="I241" t="s">
        <v>50</v>
      </c>
      <c r="J241" s="1">
        <v>44410</v>
      </c>
      <c r="K241">
        <v>75.044877032064207</v>
      </c>
      <c r="L241" s="1">
        <v>44433</v>
      </c>
      <c r="M241" s="1">
        <v>44438</v>
      </c>
      <c r="N241">
        <v>675.40389328857805</v>
      </c>
      <c r="O241">
        <v>5</v>
      </c>
      <c r="P241" t="str">
        <f>IF(Table1[[#This Row],[Delivery Delay]]&gt;0,"Late","On Time")</f>
        <v>Late</v>
      </c>
      <c r="Q241">
        <v>75.044877032064221</v>
      </c>
      <c r="R241">
        <v>0</v>
      </c>
      <c r="S241">
        <v>1.4805955516941811E-3</v>
      </c>
      <c r="T241">
        <v>0.74</v>
      </c>
      <c r="U241">
        <v>0</v>
      </c>
      <c r="V241">
        <v>22.244417866550826</v>
      </c>
    </row>
    <row r="242" spans="1:22" x14ac:dyDescent="0.35">
      <c r="A242" t="s">
        <v>106</v>
      </c>
      <c r="B242" t="s">
        <v>14</v>
      </c>
      <c r="C242" t="s">
        <v>5</v>
      </c>
      <c r="D242">
        <v>0.64</v>
      </c>
      <c r="E242" t="s">
        <v>35</v>
      </c>
      <c r="F242" t="s">
        <v>34</v>
      </c>
      <c r="G242">
        <v>1</v>
      </c>
      <c r="H242">
        <v>125.015</v>
      </c>
      <c r="I242" t="s">
        <v>48</v>
      </c>
      <c r="J242" s="1">
        <v>44463</v>
      </c>
      <c r="K242">
        <v>5.6356369719246002</v>
      </c>
      <c r="L242" s="1">
        <v>44486</v>
      </c>
      <c r="M242" s="1">
        <v>44487</v>
      </c>
      <c r="N242">
        <v>33.8138218315476</v>
      </c>
      <c r="O242">
        <v>1</v>
      </c>
      <c r="P242" t="str">
        <f>IF(Table1[[#This Row],[Delivery Delay]]&gt;0,"Late","On Time")</f>
        <v>Late</v>
      </c>
      <c r="Q242">
        <v>5.6356369719246002</v>
      </c>
      <c r="R242">
        <v>0.39168167932952141</v>
      </c>
      <c r="S242">
        <v>2.9573705243428609E-2</v>
      </c>
      <c r="T242">
        <v>0.64</v>
      </c>
      <c r="U242">
        <v>0</v>
      </c>
      <c r="V242">
        <v>27.920844743893287</v>
      </c>
    </row>
    <row r="243" spans="1:22" x14ac:dyDescent="0.35">
      <c r="A243" t="s">
        <v>108</v>
      </c>
      <c r="B243" t="s">
        <v>8</v>
      </c>
      <c r="C243" t="s">
        <v>5</v>
      </c>
      <c r="D243">
        <v>0.96</v>
      </c>
      <c r="E243" t="s">
        <v>37</v>
      </c>
      <c r="F243" t="s">
        <v>39</v>
      </c>
      <c r="G243">
        <v>0</v>
      </c>
      <c r="H243">
        <v>409.76149999999899</v>
      </c>
      <c r="I243" t="s">
        <v>48</v>
      </c>
      <c r="J243" s="1">
        <v>45140</v>
      </c>
      <c r="K243">
        <v>54.2246642174632</v>
      </c>
      <c r="L243" s="1">
        <v>45163</v>
      </c>
      <c r="M243" s="1">
        <v>45160</v>
      </c>
      <c r="N243">
        <v>867.594627479412</v>
      </c>
      <c r="O243">
        <v>-3</v>
      </c>
      <c r="P243" t="str">
        <f>IF(Table1[[#This Row],[Delivery Delay]]&gt;0,"Late","On Time")</f>
        <v>On Time</v>
      </c>
      <c r="Q243">
        <v>54.22466421746325</v>
      </c>
      <c r="R243">
        <v>0.32031097629374616</v>
      </c>
      <c r="S243">
        <v>1.1526120244719127E-3</v>
      </c>
      <c r="T243">
        <v>0.96</v>
      </c>
      <c r="U243">
        <v>1</v>
      </c>
      <c r="V243">
        <v>55.240797886609073</v>
      </c>
    </row>
    <row r="244" spans="1:22" x14ac:dyDescent="0.35">
      <c r="A244" t="s">
        <v>107</v>
      </c>
      <c r="B244" t="s">
        <v>8</v>
      </c>
      <c r="C244" t="s">
        <v>9</v>
      </c>
      <c r="D244">
        <v>0.65</v>
      </c>
      <c r="E244" t="s">
        <v>36</v>
      </c>
      <c r="F244" t="s">
        <v>34</v>
      </c>
      <c r="G244">
        <v>1</v>
      </c>
      <c r="H244">
        <v>967.33799999999997</v>
      </c>
      <c r="I244" t="s">
        <v>50</v>
      </c>
      <c r="J244" s="1">
        <v>45065</v>
      </c>
      <c r="K244">
        <v>12.8278653284436</v>
      </c>
      <c r="L244" s="1">
        <v>45080</v>
      </c>
      <c r="M244" s="1">
        <v>45081</v>
      </c>
      <c r="N244">
        <v>192.417979926654</v>
      </c>
      <c r="O244">
        <v>1</v>
      </c>
      <c r="P244" t="str">
        <f>IF(Table1[[#This Row],[Delivery Delay]]&gt;0,"Late","On Time")</f>
        <v>Late</v>
      </c>
      <c r="Q244">
        <v>12.8278653284436</v>
      </c>
      <c r="R244">
        <v>0.67517211920196984</v>
      </c>
      <c r="S244">
        <v>5.1970195320685756E-3</v>
      </c>
      <c r="T244">
        <v>0.65</v>
      </c>
      <c r="U244">
        <v>0</v>
      </c>
      <c r="V244">
        <v>33.159352970001457</v>
      </c>
    </row>
    <row r="245" spans="1:22" x14ac:dyDescent="0.35">
      <c r="A245" t="s">
        <v>100</v>
      </c>
      <c r="B245" t="s">
        <v>14</v>
      </c>
      <c r="C245" t="s">
        <v>9</v>
      </c>
      <c r="D245">
        <v>0.97</v>
      </c>
      <c r="E245" t="s">
        <v>35</v>
      </c>
      <c r="F245" t="s">
        <v>34</v>
      </c>
      <c r="G245">
        <v>1</v>
      </c>
      <c r="H245">
        <v>37.325600000000001</v>
      </c>
      <c r="I245" t="s">
        <v>48</v>
      </c>
      <c r="J245" s="1">
        <v>44844</v>
      </c>
      <c r="K245">
        <v>65.896372801617701</v>
      </c>
      <c r="L245" s="1">
        <v>44862</v>
      </c>
      <c r="M245" s="1">
        <v>44865</v>
      </c>
      <c r="N245">
        <v>724.860100817795</v>
      </c>
      <c r="O245">
        <v>3</v>
      </c>
      <c r="P245" t="str">
        <f>IF(Table1[[#This Row],[Delivery Delay]]&gt;0,"Late","On Time")</f>
        <v>Late</v>
      </c>
      <c r="Q245">
        <v>65.89637280161773</v>
      </c>
      <c r="R245">
        <v>0.12063647199662839</v>
      </c>
      <c r="S245">
        <v>1.3795765539747452E-3</v>
      </c>
      <c r="T245">
        <v>0.97</v>
      </c>
      <c r="U245">
        <v>0</v>
      </c>
      <c r="V245">
        <v>31.554116736551808</v>
      </c>
    </row>
    <row r="246" spans="1:22" x14ac:dyDescent="0.35">
      <c r="A246" t="s">
        <v>101</v>
      </c>
      <c r="B246" t="s">
        <v>10</v>
      </c>
      <c r="C246" t="s">
        <v>9</v>
      </c>
      <c r="D246">
        <v>0.77</v>
      </c>
      <c r="E246" t="s">
        <v>38</v>
      </c>
      <c r="F246" t="s">
        <v>34</v>
      </c>
      <c r="G246">
        <v>1</v>
      </c>
      <c r="H246">
        <v>178.61850000000001</v>
      </c>
      <c r="I246" t="s">
        <v>49</v>
      </c>
      <c r="J246" s="1">
        <v>44984</v>
      </c>
      <c r="K246">
        <v>34.802646276308998</v>
      </c>
      <c r="L246" s="1">
        <v>45000</v>
      </c>
      <c r="M246" s="1">
        <v>45004</v>
      </c>
      <c r="N246">
        <v>417.63175531570801</v>
      </c>
      <c r="O246">
        <v>4</v>
      </c>
      <c r="P246" t="str">
        <f>IF(Table1[[#This Row],[Delivery Delay]]&gt;0,"Late","On Time")</f>
        <v>Late</v>
      </c>
      <c r="Q246">
        <v>34.802646276308998</v>
      </c>
      <c r="R246">
        <v>0.4919014040870956</v>
      </c>
      <c r="S246">
        <v>2.3944539352474567E-3</v>
      </c>
      <c r="T246">
        <v>0.77</v>
      </c>
      <c r="U246">
        <v>0</v>
      </c>
      <c r="V246">
        <v>33.009861699799337</v>
      </c>
    </row>
    <row r="247" spans="1:22" x14ac:dyDescent="0.35">
      <c r="A247" t="s">
        <v>102</v>
      </c>
      <c r="B247" t="s">
        <v>15</v>
      </c>
      <c r="C247" t="s">
        <v>7</v>
      </c>
      <c r="D247">
        <v>0.67</v>
      </c>
      <c r="E247" t="s">
        <v>36</v>
      </c>
      <c r="F247" t="s">
        <v>34</v>
      </c>
      <c r="G247">
        <v>1</v>
      </c>
      <c r="H247">
        <v>220.86</v>
      </c>
      <c r="I247" t="s">
        <v>47</v>
      </c>
      <c r="J247" s="1">
        <v>44843</v>
      </c>
      <c r="K247">
        <v>37.395460892717303</v>
      </c>
      <c r="L247" s="1">
        <v>44858</v>
      </c>
      <c r="M247" s="1">
        <v>44859</v>
      </c>
      <c r="N247">
        <v>486.14099160532498</v>
      </c>
      <c r="O247">
        <v>1</v>
      </c>
      <c r="P247" t="str">
        <f>IF(Table1[[#This Row],[Delivery Delay]]&gt;0,"Late","On Time")</f>
        <v>Late</v>
      </c>
      <c r="Q247">
        <v>37.39546089271731</v>
      </c>
      <c r="R247">
        <v>0.48555599525128612</v>
      </c>
      <c r="S247">
        <v>2.0570164155419607E-3</v>
      </c>
      <c r="T247">
        <v>0.67</v>
      </c>
      <c r="U247">
        <v>0</v>
      </c>
      <c r="V247">
        <v>29.872830397491978</v>
      </c>
    </row>
    <row r="248" spans="1:22" x14ac:dyDescent="0.35">
      <c r="A248" t="s">
        <v>99</v>
      </c>
      <c r="B248" t="s">
        <v>13</v>
      </c>
      <c r="C248" t="s">
        <v>9</v>
      </c>
      <c r="D248">
        <v>0.81</v>
      </c>
      <c r="E248" t="s">
        <v>36</v>
      </c>
      <c r="F248" t="s">
        <v>34</v>
      </c>
      <c r="G248">
        <v>1</v>
      </c>
      <c r="H248">
        <v>291.59119999999899</v>
      </c>
      <c r="I248" t="s">
        <v>50</v>
      </c>
      <c r="J248" s="1">
        <v>44482</v>
      </c>
      <c r="K248">
        <v>35.299166676683299</v>
      </c>
      <c r="L248" s="1">
        <v>44495</v>
      </c>
      <c r="M248" s="1">
        <v>44500</v>
      </c>
      <c r="N248">
        <v>317.69250009015002</v>
      </c>
      <c r="O248">
        <v>5</v>
      </c>
      <c r="P248" t="str">
        <f>IF(Table1[[#This Row],[Delivery Delay]]&gt;0,"Late","On Time")</f>
        <v>Late</v>
      </c>
      <c r="Q248">
        <v>35.299166676683335</v>
      </c>
      <c r="R248">
        <v>0.32196143589417331</v>
      </c>
      <c r="S248">
        <v>3.1476978515899336E-3</v>
      </c>
      <c r="T248">
        <v>0.81</v>
      </c>
      <c r="U248">
        <v>0</v>
      </c>
      <c r="V248">
        <v>30.833659653431166</v>
      </c>
    </row>
    <row r="249" spans="1:22" x14ac:dyDescent="0.35">
      <c r="A249" t="s">
        <v>103</v>
      </c>
      <c r="B249" t="s">
        <v>12</v>
      </c>
      <c r="C249" t="s">
        <v>5</v>
      </c>
      <c r="D249">
        <v>0.94</v>
      </c>
      <c r="E249" t="s">
        <v>38</v>
      </c>
      <c r="F249" t="s">
        <v>39</v>
      </c>
      <c r="G249">
        <v>0</v>
      </c>
      <c r="H249">
        <v>469.94399999999899</v>
      </c>
      <c r="I249" t="s">
        <v>47</v>
      </c>
      <c r="J249" s="1">
        <v>44278</v>
      </c>
      <c r="K249">
        <v>41.1509142295752</v>
      </c>
      <c r="L249" s="1">
        <v>44296</v>
      </c>
      <c r="M249" s="1">
        <v>44302</v>
      </c>
      <c r="N249">
        <v>534.96188498447805</v>
      </c>
      <c r="O249">
        <v>6</v>
      </c>
      <c r="P249" t="str">
        <f>IF(Table1[[#This Row],[Delivery Delay]]&gt;0,"Late","On Time")</f>
        <v>Late</v>
      </c>
      <c r="Q249">
        <v>41.150914229575235</v>
      </c>
      <c r="R249">
        <v>0.68500562646127505</v>
      </c>
      <c r="S249">
        <v>1.869292052515134E-3</v>
      </c>
      <c r="T249">
        <v>0.94</v>
      </c>
      <c r="U249">
        <v>1</v>
      </c>
      <c r="V249">
        <v>61.956191290800966</v>
      </c>
    </row>
    <row r="250" spans="1:22" x14ac:dyDescent="0.35">
      <c r="A250" t="s">
        <v>104</v>
      </c>
      <c r="B250" t="s">
        <v>10</v>
      </c>
      <c r="C250" t="s">
        <v>11</v>
      </c>
      <c r="D250">
        <v>0.89</v>
      </c>
      <c r="E250" t="s">
        <v>36</v>
      </c>
      <c r="F250" t="s">
        <v>34</v>
      </c>
      <c r="G250">
        <v>1</v>
      </c>
      <c r="H250">
        <v>-25.243200000000002</v>
      </c>
      <c r="I250" t="s">
        <v>51</v>
      </c>
      <c r="J250" s="1">
        <v>44846</v>
      </c>
      <c r="K250">
        <v>5.6261480054828503</v>
      </c>
      <c r="L250" s="1">
        <v>44865</v>
      </c>
      <c r="M250" s="1">
        <v>44868</v>
      </c>
      <c r="N250">
        <v>56.261480054828503</v>
      </c>
      <c r="O250">
        <v>3</v>
      </c>
      <c r="P250" t="str">
        <f>IF(Table1[[#This Row],[Delivery Delay]]&gt;0,"Late","On Time")</f>
        <v>Late</v>
      </c>
      <c r="Q250">
        <v>5.6261480054828503</v>
      </c>
      <c r="R250">
        <v>0</v>
      </c>
      <c r="S250">
        <v>1.777415025387654E-2</v>
      </c>
      <c r="T250">
        <v>0.89</v>
      </c>
      <c r="U250">
        <v>0</v>
      </c>
      <c r="V250">
        <v>27.233224507616299</v>
      </c>
    </row>
    <row r="251" spans="1:22" x14ac:dyDescent="0.35">
      <c r="A251" t="s">
        <v>105</v>
      </c>
      <c r="B251" t="s">
        <v>12</v>
      </c>
      <c r="C251" t="s">
        <v>5</v>
      </c>
      <c r="D251">
        <v>0.91</v>
      </c>
      <c r="E251" t="s">
        <v>36</v>
      </c>
      <c r="F251" t="s">
        <v>34</v>
      </c>
      <c r="G251">
        <v>1</v>
      </c>
      <c r="H251">
        <v>69.945599999999999</v>
      </c>
      <c r="I251" t="s">
        <v>49</v>
      </c>
      <c r="J251" s="1">
        <v>44232</v>
      </c>
      <c r="K251">
        <v>62.2011118138782</v>
      </c>
      <c r="L251" s="1">
        <v>44254</v>
      </c>
      <c r="M251" s="1">
        <v>44255</v>
      </c>
      <c r="N251">
        <v>684.21222995265998</v>
      </c>
      <c r="O251">
        <v>1</v>
      </c>
      <c r="P251" t="str">
        <f>IF(Table1[[#This Row],[Delivery Delay]]&gt;0,"Late","On Time")</f>
        <v>Late</v>
      </c>
      <c r="Q251">
        <v>62.201111813878178</v>
      </c>
      <c r="R251">
        <v>0.12573233129416636</v>
      </c>
      <c r="S251">
        <v>1.4615348224178762E-3</v>
      </c>
      <c r="T251">
        <v>0.91</v>
      </c>
      <c r="U251">
        <v>0</v>
      </c>
      <c r="V251">
        <v>29.858492670555865</v>
      </c>
    </row>
    <row r="252" spans="1:22" x14ac:dyDescent="0.35">
      <c r="A252" t="s">
        <v>106</v>
      </c>
      <c r="B252" t="s">
        <v>13</v>
      </c>
      <c r="C252" t="s">
        <v>7</v>
      </c>
      <c r="D252">
        <v>0.86</v>
      </c>
      <c r="E252" t="s">
        <v>38</v>
      </c>
      <c r="F252" t="s">
        <v>39</v>
      </c>
      <c r="G252">
        <v>0</v>
      </c>
      <c r="H252">
        <v>317.20920000000001</v>
      </c>
      <c r="I252" t="s">
        <v>45</v>
      </c>
      <c r="J252" s="1">
        <v>44245</v>
      </c>
      <c r="K252">
        <v>75.704641706265306</v>
      </c>
      <c r="L252" s="1">
        <v>44256</v>
      </c>
      <c r="M252" s="1">
        <v>44257</v>
      </c>
      <c r="N252">
        <v>832.75105876891905</v>
      </c>
      <c r="O252">
        <v>1</v>
      </c>
      <c r="P252" t="str">
        <f>IF(Table1[[#This Row],[Delivery Delay]]&gt;0,"Late","On Time")</f>
        <v>Late</v>
      </c>
      <c r="Q252">
        <v>75.704641706265363</v>
      </c>
      <c r="R252">
        <v>0.3703857832030949</v>
      </c>
      <c r="S252">
        <v>1.2008390616498647E-3</v>
      </c>
      <c r="T252">
        <v>0.86</v>
      </c>
      <c r="U252">
        <v>1</v>
      </c>
      <c r="V252">
        <v>53.243740835911389</v>
      </c>
    </row>
    <row r="253" spans="1:22" x14ac:dyDescent="0.35">
      <c r="A253" t="s">
        <v>108</v>
      </c>
      <c r="B253" t="s">
        <v>15</v>
      </c>
      <c r="C253" t="s">
        <v>5</v>
      </c>
      <c r="D253">
        <v>0.87</v>
      </c>
      <c r="E253" t="s">
        <v>36</v>
      </c>
      <c r="F253" t="s">
        <v>34</v>
      </c>
      <c r="G253">
        <v>1</v>
      </c>
      <c r="H253">
        <v>287.602499999999</v>
      </c>
      <c r="I253" t="s">
        <v>49</v>
      </c>
      <c r="J253" s="1">
        <v>44319</v>
      </c>
      <c r="K253">
        <v>49.074279939953101</v>
      </c>
      <c r="L253" s="1">
        <v>44338</v>
      </c>
      <c r="M253" s="1">
        <v>44341</v>
      </c>
      <c r="N253">
        <v>687.03991915934296</v>
      </c>
      <c r="O253">
        <v>3</v>
      </c>
      <c r="P253" t="str">
        <f>IF(Table1[[#This Row],[Delivery Delay]]&gt;0,"Late","On Time")</f>
        <v>Late</v>
      </c>
      <c r="Q253">
        <v>49.074279939953065</v>
      </c>
      <c r="R253">
        <v>0.64763304115789078</v>
      </c>
      <c r="S253">
        <v>1.4555195005605973E-3</v>
      </c>
      <c r="T253">
        <v>0.87</v>
      </c>
      <c r="U253">
        <v>0</v>
      </c>
      <c r="V253">
        <v>39.096326408174633</v>
      </c>
    </row>
    <row r="254" spans="1:22" x14ac:dyDescent="0.35">
      <c r="A254" t="s">
        <v>102</v>
      </c>
      <c r="B254" t="s">
        <v>8</v>
      </c>
      <c r="C254" t="s">
        <v>9</v>
      </c>
      <c r="D254">
        <v>0.93</v>
      </c>
      <c r="E254" t="s">
        <v>35</v>
      </c>
      <c r="F254" t="s">
        <v>34</v>
      </c>
      <c r="G254">
        <v>1</v>
      </c>
      <c r="H254">
        <v>34.573999999999799</v>
      </c>
      <c r="I254" t="s">
        <v>50</v>
      </c>
      <c r="J254" s="1">
        <v>44664</v>
      </c>
      <c r="K254">
        <v>26.3645392329583</v>
      </c>
      <c r="L254" s="1">
        <v>44674</v>
      </c>
      <c r="M254" s="1">
        <v>44675</v>
      </c>
      <c r="N254">
        <v>237.28085309662501</v>
      </c>
      <c r="O254">
        <v>1</v>
      </c>
      <c r="P254" t="str">
        <f>IF(Table1[[#This Row],[Delivery Delay]]&gt;0,"Late","On Time")</f>
        <v>Late</v>
      </c>
      <c r="Q254">
        <v>26.364539232958336</v>
      </c>
      <c r="R254">
        <v>4.3422453982798613E-2</v>
      </c>
      <c r="S254">
        <v>4.2144150568810632E-3</v>
      </c>
      <c r="T254">
        <v>0.93</v>
      </c>
      <c r="U254">
        <v>0</v>
      </c>
      <c r="V254">
        <v>28.894881531362405</v>
      </c>
    </row>
    <row r="255" spans="1:22" x14ac:dyDescent="0.35">
      <c r="A255" t="s">
        <v>99</v>
      </c>
      <c r="B255" t="s">
        <v>10</v>
      </c>
      <c r="C255" t="s">
        <v>7</v>
      </c>
      <c r="D255">
        <v>0.7</v>
      </c>
      <c r="E255" t="s">
        <v>37</v>
      </c>
      <c r="F255" t="s">
        <v>39</v>
      </c>
      <c r="G255">
        <v>0</v>
      </c>
      <c r="H255">
        <v>646.31209999999999</v>
      </c>
      <c r="I255" t="s">
        <v>45</v>
      </c>
      <c r="J255" s="1">
        <v>44373</v>
      </c>
      <c r="K255">
        <v>16.985465137054</v>
      </c>
      <c r="L255" s="1">
        <v>44393</v>
      </c>
      <c r="M255" s="1">
        <v>44393</v>
      </c>
      <c r="N255">
        <v>203.825581644648</v>
      </c>
      <c r="O255">
        <v>0</v>
      </c>
      <c r="P255" t="str">
        <f>IF(Table1[[#This Row],[Delivery Delay]]&gt;0,"Late","On Time")</f>
        <v>On Time</v>
      </c>
      <c r="Q255">
        <v>16.985465137054</v>
      </c>
      <c r="R255">
        <v>0.46457764227989995</v>
      </c>
      <c r="S255">
        <v>4.9061555077194001E-3</v>
      </c>
      <c r="T255">
        <v>0.7</v>
      </c>
      <c r="U255">
        <v>1</v>
      </c>
      <c r="V255">
        <v>50.43873751082959</v>
      </c>
    </row>
    <row r="256" spans="1:22" x14ac:dyDescent="0.35">
      <c r="A256" t="s">
        <v>103</v>
      </c>
      <c r="B256" t="s">
        <v>6</v>
      </c>
      <c r="C256" t="s">
        <v>11</v>
      </c>
      <c r="D256">
        <v>0.79</v>
      </c>
      <c r="E256" t="s">
        <v>36</v>
      </c>
      <c r="F256" t="s">
        <v>39</v>
      </c>
      <c r="G256">
        <v>0</v>
      </c>
      <c r="H256">
        <v>300.60599999999999</v>
      </c>
      <c r="I256" t="s">
        <v>51</v>
      </c>
      <c r="J256" s="1">
        <v>45231</v>
      </c>
      <c r="K256">
        <v>31.4106263068761</v>
      </c>
      <c r="L256" s="1">
        <v>45249</v>
      </c>
      <c r="M256" s="1">
        <v>45250</v>
      </c>
      <c r="N256">
        <v>125.642505227504</v>
      </c>
      <c r="O256">
        <v>1</v>
      </c>
      <c r="P256" t="str">
        <f>IF(Table1[[#This Row],[Delivery Delay]]&gt;0,"Late","On Time")</f>
        <v>Late</v>
      </c>
      <c r="Q256">
        <v>31.410626306876001</v>
      </c>
      <c r="R256">
        <v>0.67470642102995038</v>
      </c>
      <c r="S256">
        <v>7.9590899448341561E-3</v>
      </c>
      <c r="T256">
        <v>0.79</v>
      </c>
      <c r="U256">
        <v>1</v>
      </c>
      <c r="V256">
        <v>57.432901118944038</v>
      </c>
    </row>
    <row r="257" spans="1:22" x14ac:dyDescent="0.35">
      <c r="A257" t="s">
        <v>104</v>
      </c>
      <c r="B257" t="s">
        <v>6</v>
      </c>
      <c r="C257" t="s">
        <v>9</v>
      </c>
      <c r="D257">
        <v>0.69</v>
      </c>
      <c r="E257" t="s">
        <v>36</v>
      </c>
      <c r="F257" t="s">
        <v>34</v>
      </c>
      <c r="G257">
        <v>1</v>
      </c>
      <c r="H257">
        <v>539.7808</v>
      </c>
      <c r="I257" t="s">
        <v>50</v>
      </c>
      <c r="J257" s="1">
        <v>44637</v>
      </c>
      <c r="K257">
        <v>52.890325720816797</v>
      </c>
      <c r="L257" s="1">
        <v>44653</v>
      </c>
      <c r="M257" s="1">
        <v>44653</v>
      </c>
      <c r="N257">
        <v>846.24521153307001</v>
      </c>
      <c r="O257">
        <v>0</v>
      </c>
      <c r="P257" t="str">
        <f>IF(Table1[[#This Row],[Delivery Delay]]&gt;0,"Late","On Time")</f>
        <v>On Time</v>
      </c>
      <c r="Q257">
        <v>52.890325720816875</v>
      </c>
      <c r="R257">
        <v>0.85649473962141653</v>
      </c>
      <c r="S257">
        <v>1.1816905860990168E-3</v>
      </c>
      <c r="T257">
        <v>0.69</v>
      </c>
      <c r="U257">
        <v>0</v>
      </c>
      <c r="V257">
        <v>37.865345510011309</v>
      </c>
    </row>
    <row r="258" spans="1:22" x14ac:dyDescent="0.35">
      <c r="A258" t="s">
        <v>105</v>
      </c>
      <c r="B258" t="s">
        <v>13</v>
      </c>
      <c r="C258" t="s">
        <v>7</v>
      </c>
      <c r="D258">
        <v>0.99</v>
      </c>
      <c r="E258" t="s">
        <v>37</v>
      </c>
      <c r="F258" t="s">
        <v>34</v>
      </c>
      <c r="G258">
        <v>1</v>
      </c>
      <c r="H258">
        <v>59.794699999999999</v>
      </c>
      <c r="I258" t="s">
        <v>46</v>
      </c>
      <c r="J258" s="1">
        <v>44567</v>
      </c>
      <c r="K258">
        <v>33.533410847842603</v>
      </c>
      <c r="L258" s="1">
        <v>44583</v>
      </c>
      <c r="M258" s="1">
        <v>44581</v>
      </c>
      <c r="N258">
        <v>536.53457356548199</v>
      </c>
      <c r="O258">
        <v>-2</v>
      </c>
      <c r="P258" t="str">
        <f>IF(Table1[[#This Row],[Delivery Delay]]&gt;0,"Late","On Time")</f>
        <v>On Time</v>
      </c>
      <c r="Q258">
        <v>33.533410847842624</v>
      </c>
      <c r="R258">
        <v>0.11157086861515031</v>
      </c>
      <c r="S258">
        <v>1.8638127890894505E-3</v>
      </c>
      <c r="T258">
        <v>0.99</v>
      </c>
      <c r="U258">
        <v>0</v>
      </c>
      <c r="V258">
        <v>31.987331755975688</v>
      </c>
    </row>
    <row r="259" spans="1:22" x14ac:dyDescent="0.35">
      <c r="A259" t="s">
        <v>106</v>
      </c>
      <c r="B259" t="s">
        <v>6</v>
      </c>
      <c r="C259" t="s">
        <v>11</v>
      </c>
      <c r="D259">
        <v>0.97</v>
      </c>
      <c r="E259" t="s">
        <v>35</v>
      </c>
      <c r="F259" t="s">
        <v>34</v>
      </c>
      <c r="G259">
        <v>1</v>
      </c>
      <c r="H259">
        <v>300.32</v>
      </c>
      <c r="I259" t="s">
        <v>47</v>
      </c>
      <c r="J259" s="1">
        <v>44797</v>
      </c>
      <c r="K259">
        <v>65.213074467945503</v>
      </c>
      <c r="L259" s="1">
        <v>44820</v>
      </c>
      <c r="M259" s="1">
        <v>44825</v>
      </c>
      <c r="N259">
        <v>717.34381914740004</v>
      </c>
      <c r="O259">
        <v>5</v>
      </c>
      <c r="P259" t="str">
        <f>IF(Table1[[#This Row],[Delivery Delay]]&gt;0,"Late","On Time")</f>
        <v>Late</v>
      </c>
      <c r="Q259">
        <v>65.213074467945461</v>
      </c>
      <c r="R259">
        <v>0.904251475370348</v>
      </c>
      <c r="S259">
        <v>1.3940316669746333E-3</v>
      </c>
      <c r="T259">
        <v>0.97</v>
      </c>
      <c r="U259">
        <v>0</v>
      </c>
      <c r="V259">
        <v>47.226850457416205</v>
      </c>
    </row>
    <row r="260" spans="1:22" x14ac:dyDescent="0.35">
      <c r="A260" t="s">
        <v>108</v>
      </c>
      <c r="B260" t="s">
        <v>8</v>
      </c>
      <c r="C260" t="s">
        <v>9</v>
      </c>
      <c r="D260">
        <v>0.62</v>
      </c>
      <c r="E260" t="s">
        <v>36</v>
      </c>
      <c r="F260" t="s">
        <v>34</v>
      </c>
      <c r="G260">
        <v>1</v>
      </c>
      <c r="H260">
        <v>538.07219999999995</v>
      </c>
      <c r="I260" t="s">
        <v>51</v>
      </c>
      <c r="J260" s="1">
        <v>44832</v>
      </c>
      <c r="K260">
        <v>75.371756369507693</v>
      </c>
      <c r="L260" s="1">
        <v>44847</v>
      </c>
      <c r="M260" s="1">
        <v>44849</v>
      </c>
      <c r="N260">
        <v>753.71756369507705</v>
      </c>
      <c r="O260">
        <v>2</v>
      </c>
      <c r="P260" t="str">
        <f>IF(Table1[[#This Row],[Delivery Delay]]&gt;0,"Late","On Time")</f>
        <v>Late</v>
      </c>
      <c r="Q260">
        <v>75.371756369507708</v>
      </c>
      <c r="R260">
        <v>0.24939243085224866</v>
      </c>
      <c r="S260">
        <v>1.3267569288123405E-3</v>
      </c>
      <c r="T260">
        <v>0.62</v>
      </c>
      <c r="U260">
        <v>0</v>
      </c>
      <c r="V260">
        <v>23.627651324909344</v>
      </c>
    </row>
    <row r="261" spans="1:22" x14ac:dyDescent="0.35">
      <c r="A261" t="s">
        <v>107</v>
      </c>
      <c r="B261" t="s">
        <v>13</v>
      </c>
      <c r="C261" t="s">
        <v>9</v>
      </c>
      <c r="D261">
        <v>0.88</v>
      </c>
      <c r="E261" t="s">
        <v>38</v>
      </c>
      <c r="F261" t="s">
        <v>34</v>
      </c>
      <c r="G261">
        <v>1</v>
      </c>
      <c r="H261">
        <v>274.98480000000001</v>
      </c>
      <c r="I261" t="s">
        <v>47</v>
      </c>
      <c r="J261" s="1">
        <v>44587</v>
      </c>
      <c r="K261">
        <v>21.234024595847799</v>
      </c>
      <c r="L261" s="1">
        <v>44610</v>
      </c>
      <c r="M261" s="1">
        <v>44611</v>
      </c>
      <c r="N261">
        <v>254.808295150173</v>
      </c>
      <c r="O261">
        <v>1</v>
      </c>
      <c r="P261" t="str">
        <f>IF(Table1[[#This Row],[Delivery Delay]]&gt;0,"Late","On Time")</f>
        <v>Late</v>
      </c>
      <c r="Q261">
        <v>21.23402459584775</v>
      </c>
      <c r="R261">
        <v>0.41063051245936771</v>
      </c>
      <c r="S261">
        <v>3.9245190169756574E-3</v>
      </c>
      <c r="T261">
        <v>0.88</v>
      </c>
      <c r="U261">
        <v>0</v>
      </c>
      <c r="V261">
        <v>34.73034581969663</v>
      </c>
    </row>
    <row r="262" spans="1:22" x14ac:dyDescent="0.35">
      <c r="A262" t="s">
        <v>100</v>
      </c>
      <c r="B262" t="s">
        <v>8</v>
      </c>
      <c r="C262" t="s">
        <v>7</v>
      </c>
      <c r="D262">
        <v>0.96</v>
      </c>
      <c r="E262" t="s">
        <v>35</v>
      </c>
      <c r="F262" t="s">
        <v>34</v>
      </c>
      <c r="G262">
        <v>1</v>
      </c>
      <c r="H262">
        <v>372.75599999999997</v>
      </c>
      <c r="I262" t="s">
        <v>48</v>
      </c>
      <c r="J262" s="1">
        <v>44486</v>
      </c>
      <c r="K262">
        <v>15.9494362047151</v>
      </c>
      <c r="L262" s="1">
        <v>44509</v>
      </c>
      <c r="M262" s="1">
        <v>44507</v>
      </c>
      <c r="N262">
        <v>223.29210686601201</v>
      </c>
      <c r="O262">
        <v>-2</v>
      </c>
      <c r="P262" t="str">
        <f>IF(Table1[[#This Row],[Delivery Delay]]&gt;0,"Late","On Time")</f>
        <v>On Time</v>
      </c>
      <c r="Q262">
        <v>15.949436204715143</v>
      </c>
      <c r="R262">
        <v>0.63688926250179401</v>
      </c>
      <c r="S262">
        <v>4.4784386427060632E-3</v>
      </c>
      <c r="T262">
        <v>0.96</v>
      </c>
      <c r="U262">
        <v>0</v>
      </c>
      <c r="V262">
        <v>41.672138409317064</v>
      </c>
    </row>
    <row r="263" spans="1:22" x14ac:dyDescent="0.35">
      <c r="A263" t="s">
        <v>101</v>
      </c>
      <c r="B263" t="s">
        <v>15</v>
      </c>
      <c r="C263" t="s">
        <v>9</v>
      </c>
      <c r="D263">
        <v>0.67</v>
      </c>
      <c r="E263" t="s">
        <v>36</v>
      </c>
      <c r="F263" t="s">
        <v>34</v>
      </c>
      <c r="G263">
        <v>1</v>
      </c>
      <c r="H263">
        <v>39.566399999999902</v>
      </c>
      <c r="I263" t="s">
        <v>46</v>
      </c>
      <c r="J263" s="1">
        <v>45015</v>
      </c>
      <c r="K263">
        <v>34.845726586719103</v>
      </c>
      <c r="L263" s="1">
        <v>45034</v>
      </c>
      <c r="M263" s="1">
        <v>45035</v>
      </c>
      <c r="N263">
        <v>487.84017221406799</v>
      </c>
      <c r="O263">
        <v>1</v>
      </c>
      <c r="P263" t="str">
        <f>IF(Table1[[#This Row],[Delivery Delay]]&gt;0,"Late","On Time")</f>
        <v>Late</v>
      </c>
      <c r="Q263">
        <v>34.845726586719145</v>
      </c>
      <c r="R263">
        <v>7.579386789633609E-2</v>
      </c>
      <c r="S263">
        <v>2.0498516870012754E-3</v>
      </c>
      <c r="T263">
        <v>0.67</v>
      </c>
      <c r="U263">
        <v>0</v>
      </c>
      <c r="V263">
        <v>21.677372908536764</v>
      </c>
    </row>
    <row r="264" spans="1:22" x14ac:dyDescent="0.35">
      <c r="A264" t="s">
        <v>102</v>
      </c>
      <c r="B264" t="s">
        <v>12</v>
      </c>
      <c r="C264" t="s">
        <v>9</v>
      </c>
      <c r="D264">
        <v>0.82</v>
      </c>
      <c r="E264" t="s">
        <v>38</v>
      </c>
      <c r="F264" t="s">
        <v>34</v>
      </c>
      <c r="G264">
        <v>1</v>
      </c>
      <c r="H264">
        <v>92.383199999999903</v>
      </c>
      <c r="I264" t="s">
        <v>46</v>
      </c>
      <c r="J264" s="1">
        <v>44741</v>
      </c>
      <c r="K264">
        <v>53.439130034257602</v>
      </c>
      <c r="L264" s="1">
        <v>44762</v>
      </c>
      <c r="M264" s="1">
        <v>44765</v>
      </c>
      <c r="N264">
        <v>748.14782047960705</v>
      </c>
      <c r="O264">
        <v>3</v>
      </c>
      <c r="P264" t="str">
        <f>IF(Table1[[#This Row],[Delivery Delay]]&gt;0,"Late","On Time")</f>
        <v>Late</v>
      </c>
      <c r="Q264">
        <v>53.439130034257644</v>
      </c>
      <c r="R264">
        <v>0.37666963490650163</v>
      </c>
      <c r="S264">
        <v>1.3366342487757844E-3</v>
      </c>
      <c r="T264">
        <v>0.82</v>
      </c>
      <c r="U264">
        <v>0</v>
      </c>
      <c r="V264">
        <v>32.173491725593301</v>
      </c>
    </row>
    <row r="265" spans="1:22" x14ac:dyDescent="0.35">
      <c r="A265" t="s">
        <v>99</v>
      </c>
      <c r="B265" t="s">
        <v>15</v>
      </c>
      <c r="C265" t="s">
        <v>9</v>
      </c>
      <c r="D265">
        <v>0.96</v>
      </c>
      <c r="E265" t="s">
        <v>38</v>
      </c>
      <c r="F265" t="s">
        <v>39</v>
      </c>
      <c r="G265">
        <v>0</v>
      </c>
      <c r="H265">
        <v>-169.7</v>
      </c>
      <c r="I265" t="s">
        <v>51</v>
      </c>
      <c r="J265" s="1">
        <v>44487</v>
      </c>
      <c r="K265">
        <v>59.6917904344212</v>
      </c>
      <c r="L265" s="1">
        <v>44504</v>
      </c>
      <c r="M265" s="1">
        <v>44510</v>
      </c>
      <c r="N265">
        <v>477.53432347536898</v>
      </c>
      <c r="O265">
        <v>6</v>
      </c>
      <c r="P265" t="str">
        <f>IF(Table1[[#This Row],[Delivery Delay]]&gt;0,"Late","On Time")</f>
        <v>Late</v>
      </c>
      <c r="Q265">
        <v>59.691790434421122</v>
      </c>
      <c r="R265">
        <v>0</v>
      </c>
      <c r="S265">
        <v>2.0940903110843708E-3</v>
      </c>
      <c r="T265">
        <v>0.96</v>
      </c>
      <c r="U265">
        <v>1</v>
      </c>
      <c r="V265">
        <v>48.862822709332534</v>
      </c>
    </row>
    <row r="266" spans="1:22" x14ac:dyDescent="0.35">
      <c r="A266" t="s">
        <v>103</v>
      </c>
      <c r="B266" t="s">
        <v>15</v>
      </c>
      <c r="C266" t="s">
        <v>11</v>
      </c>
      <c r="D266">
        <v>0.61</v>
      </c>
      <c r="E266" t="s">
        <v>36</v>
      </c>
      <c r="F266" t="s">
        <v>34</v>
      </c>
      <c r="G266">
        <v>1</v>
      </c>
      <c r="H266">
        <v>222.06859999999901</v>
      </c>
      <c r="I266" t="s">
        <v>46</v>
      </c>
      <c r="J266" s="1">
        <v>45213</v>
      </c>
      <c r="K266">
        <v>20.7836862185993</v>
      </c>
      <c r="L266" s="1">
        <v>45232</v>
      </c>
      <c r="M266" s="1">
        <v>45238</v>
      </c>
      <c r="N266">
        <v>353.322665716188</v>
      </c>
      <c r="O266">
        <v>6</v>
      </c>
      <c r="P266" t="str">
        <f>IF(Table1[[#This Row],[Delivery Delay]]&gt;0,"Late","On Time")</f>
        <v>Late</v>
      </c>
      <c r="Q266">
        <v>20.783686218599293</v>
      </c>
      <c r="R266">
        <v>0.50848192676183568</v>
      </c>
      <c r="S266">
        <v>2.8302741290966759E-3</v>
      </c>
      <c r="T266">
        <v>0.61</v>
      </c>
      <c r="U266">
        <v>0</v>
      </c>
      <c r="V266">
        <v>28.554546759109613</v>
      </c>
    </row>
    <row r="267" spans="1:22" x14ac:dyDescent="0.35">
      <c r="A267" t="s">
        <v>104</v>
      </c>
      <c r="B267" t="s">
        <v>8</v>
      </c>
      <c r="C267" t="s">
        <v>5</v>
      </c>
      <c r="D267">
        <v>0.87</v>
      </c>
      <c r="E267" t="s">
        <v>36</v>
      </c>
      <c r="F267" t="s">
        <v>34</v>
      </c>
      <c r="G267">
        <v>1</v>
      </c>
      <c r="H267">
        <v>54.809399999999997</v>
      </c>
      <c r="I267" t="s">
        <v>45</v>
      </c>
      <c r="J267" s="1">
        <v>44470</v>
      </c>
      <c r="K267">
        <v>21.573534801540699</v>
      </c>
      <c r="L267" s="1">
        <v>44481</v>
      </c>
      <c r="M267" s="1">
        <v>44483</v>
      </c>
      <c r="N267">
        <v>215.735348015407</v>
      </c>
      <c r="O267">
        <v>2</v>
      </c>
      <c r="P267" t="str">
        <f>IF(Table1[[#This Row],[Delivery Delay]]&gt;0,"Late","On Time")</f>
        <v>Late</v>
      </c>
      <c r="Q267">
        <v>21.573534801540699</v>
      </c>
      <c r="R267">
        <v>0.5123360198318555</v>
      </c>
      <c r="S267">
        <v>4.6353089987301657E-3</v>
      </c>
      <c r="T267">
        <v>0.87</v>
      </c>
      <c r="U267">
        <v>0</v>
      </c>
      <c r="V267">
        <v>36.485779666599015</v>
      </c>
    </row>
    <row r="268" spans="1:22" x14ac:dyDescent="0.35">
      <c r="A268" t="s">
        <v>105</v>
      </c>
      <c r="B268" t="s">
        <v>13</v>
      </c>
      <c r="C268" t="s">
        <v>7</v>
      </c>
      <c r="D268">
        <v>0.72</v>
      </c>
      <c r="E268" t="s">
        <v>38</v>
      </c>
      <c r="F268" t="s">
        <v>34</v>
      </c>
      <c r="G268">
        <v>1</v>
      </c>
      <c r="H268">
        <v>592.32950000000005</v>
      </c>
      <c r="I268" t="s">
        <v>46</v>
      </c>
      <c r="J268" s="1">
        <v>44338</v>
      </c>
      <c r="K268">
        <v>44.8773815416993</v>
      </c>
      <c r="L268" s="1">
        <v>44360</v>
      </c>
      <c r="M268" s="1">
        <v>44358</v>
      </c>
      <c r="N268">
        <v>538.52857850039197</v>
      </c>
      <c r="O268">
        <v>-2</v>
      </c>
      <c r="P268" t="str">
        <f>IF(Table1[[#This Row],[Delivery Delay]]&gt;0,"Late","On Time")</f>
        <v>On Time</v>
      </c>
      <c r="Q268">
        <v>44.877381541699329</v>
      </c>
      <c r="R268">
        <v>0.61847264807025371</v>
      </c>
      <c r="S268">
        <v>1.856911666200965E-3</v>
      </c>
      <c r="T268">
        <v>0.72</v>
      </c>
      <c r="U268">
        <v>0</v>
      </c>
      <c r="V268">
        <v>34.025160311391097</v>
      </c>
    </row>
    <row r="269" spans="1:22" x14ac:dyDescent="0.35">
      <c r="A269" t="s">
        <v>106</v>
      </c>
      <c r="B269" t="s">
        <v>13</v>
      </c>
      <c r="C269" t="s">
        <v>7</v>
      </c>
      <c r="D269">
        <v>0.96</v>
      </c>
      <c r="E269" t="s">
        <v>38</v>
      </c>
      <c r="F269" t="s">
        <v>34</v>
      </c>
      <c r="G269">
        <v>1</v>
      </c>
      <c r="H269">
        <v>651.02800000000002</v>
      </c>
      <c r="I269" t="s">
        <v>47</v>
      </c>
      <c r="J269" s="1">
        <v>45319</v>
      </c>
      <c r="K269">
        <v>30.4522377654603</v>
      </c>
      <c r="L269" s="1">
        <v>45331</v>
      </c>
      <c r="M269" s="1">
        <v>45335</v>
      </c>
      <c r="N269">
        <v>395.87909095098399</v>
      </c>
      <c r="O269">
        <v>4</v>
      </c>
      <c r="P269" t="str">
        <f>IF(Table1[[#This Row],[Delivery Delay]]&gt;0,"Late","On Time")</f>
        <v>Late</v>
      </c>
      <c r="Q269">
        <v>30.452237765460307</v>
      </c>
      <c r="R269">
        <v>0.69674268077072909</v>
      </c>
      <c r="S269">
        <v>2.5260237856912114E-3</v>
      </c>
      <c r="T269">
        <v>0.96</v>
      </c>
      <c r="U269">
        <v>0</v>
      </c>
      <c r="V269">
        <v>42.810634328985323</v>
      </c>
    </row>
    <row r="270" spans="1:22" x14ac:dyDescent="0.35">
      <c r="A270" t="s">
        <v>108</v>
      </c>
      <c r="B270" t="s">
        <v>6</v>
      </c>
      <c r="C270" t="s">
        <v>9</v>
      </c>
      <c r="D270">
        <v>0.98</v>
      </c>
      <c r="E270" t="s">
        <v>35</v>
      </c>
      <c r="F270" t="s">
        <v>39</v>
      </c>
      <c r="G270">
        <v>0</v>
      </c>
      <c r="H270">
        <v>377.54899999999998</v>
      </c>
      <c r="I270" t="s">
        <v>47</v>
      </c>
      <c r="J270" s="1">
        <v>44966</v>
      </c>
      <c r="K270">
        <v>26.036679296114599</v>
      </c>
      <c r="L270" s="1">
        <v>44985</v>
      </c>
      <c r="M270" s="1">
        <v>44990</v>
      </c>
      <c r="N270">
        <v>286.403472257261</v>
      </c>
      <c r="O270">
        <v>5</v>
      </c>
      <c r="P270" t="str">
        <f>IF(Table1[[#This Row],[Delivery Delay]]&gt;0,"Late","On Time")</f>
        <v>Late</v>
      </c>
      <c r="Q270">
        <v>26.036679296114638</v>
      </c>
      <c r="R270">
        <v>0.8430274489839209</v>
      </c>
      <c r="S270">
        <v>3.4915777805296761E-3</v>
      </c>
      <c r="T270">
        <v>0.98</v>
      </c>
      <c r="U270">
        <v>1</v>
      </c>
      <c r="V270">
        <v>66.365296313094319</v>
      </c>
    </row>
    <row r="271" spans="1:22" x14ac:dyDescent="0.35">
      <c r="A271" t="s">
        <v>103</v>
      </c>
      <c r="B271" t="s">
        <v>4</v>
      </c>
      <c r="C271" t="s">
        <v>9</v>
      </c>
      <c r="D271">
        <v>0.97</v>
      </c>
      <c r="E271" t="s">
        <v>37</v>
      </c>
      <c r="F271" t="s">
        <v>34</v>
      </c>
      <c r="G271">
        <v>1</v>
      </c>
      <c r="H271">
        <v>724.29300000000001</v>
      </c>
      <c r="I271" t="s">
        <v>50</v>
      </c>
      <c r="J271" s="1">
        <v>45181</v>
      </c>
      <c r="K271">
        <v>43.129207550346202</v>
      </c>
      <c r="L271" s="1">
        <v>45202</v>
      </c>
      <c r="M271" s="1">
        <v>45206</v>
      </c>
      <c r="N271">
        <v>388.16286795311601</v>
      </c>
      <c r="O271">
        <v>4</v>
      </c>
      <c r="P271" t="str">
        <f>IF(Table1[[#This Row],[Delivery Delay]]&gt;0,"Late","On Time")</f>
        <v>Late</v>
      </c>
      <c r="Q271">
        <v>43.129207550346223</v>
      </c>
      <c r="R271">
        <v>0.5076868727013506</v>
      </c>
      <c r="S271">
        <v>2.5762381787656835E-3</v>
      </c>
      <c r="T271">
        <v>0.97</v>
      </c>
      <c r="U271">
        <v>0</v>
      </c>
      <c r="V271">
        <v>39.331024599389977</v>
      </c>
    </row>
    <row r="272" spans="1:22" x14ac:dyDescent="0.35">
      <c r="A272" t="s">
        <v>104</v>
      </c>
      <c r="B272" t="s">
        <v>12</v>
      </c>
      <c r="C272" t="s">
        <v>7</v>
      </c>
      <c r="D272">
        <v>0.78</v>
      </c>
      <c r="E272" t="s">
        <v>36</v>
      </c>
      <c r="F272" t="s">
        <v>39</v>
      </c>
      <c r="G272">
        <v>0</v>
      </c>
      <c r="H272">
        <v>9.4026000000000298</v>
      </c>
      <c r="I272" t="s">
        <v>47</v>
      </c>
      <c r="J272" s="1">
        <v>44247</v>
      </c>
      <c r="K272">
        <v>67.239977547098903</v>
      </c>
      <c r="L272" s="1">
        <v>44257</v>
      </c>
      <c r="M272" s="1">
        <v>44254</v>
      </c>
      <c r="N272">
        <v>806.87973056518695</v>
      </c>
      <c r="O272">
        <v>-3</v>
      </c>
      <c r="P272" t="str">
        <f>IF(Table1[[#This Row],[Delivery Delay]]&gt;0,"Late","On Time")</f>
        <v>On Time</v>
      </c>
      <c r="Q272">
        <v>67.239977547098917</v>
      </c>
      <c r="R272">
        <v>4.3807883797708412E-2</v>
      </c>
      <c r="S272">
        <v>1.239342075552623E-3</v>
      </c>
      <c r="T272">
        <v>0.78</v>
      </c>
      <c r="U272">
        <v>1</v>
      </c>
      <c r="V272">
        <v>44.313337938220741</v>
      </c>
    </row>
    <row r="273" spans="1:22" x14ac:dyDescent="0.35">
      <c r="A273" t="s">
        <v>105</v>
      </c>
      <c r="B273" t="s">
        <v>8</v>
      </c>
      <c r="C273" t="s">
        <v>9</v>
      </c>
      <c r="D273">
        <v>0.94</v>
      </c>
      <c r="E273" t="s">
        <v>36</v>
      </c>
      <c r="F273" t="s">
        <v>39</v>
      </c>
      <c r="G273">
        <v>0</v>
      </c>
      <c r="H273">
        <v>134.63749999999899</v>
      </c>
      <c r="I273" t="s">
        <v>50</v>
      </c>
      <c r="J273" s="1">
        <v>45031</v>
      </c>
      <c r="K273">
        <v>42.555473179387697</v>
      </c>
      <c r="L273" s="1">
        <v>45044</v>
      </c>
      <c r="M273" s="1">
        <v>45043</v>
      </c>
      <c r="N273">
        <v>723.44304404959098</v>
      </c>
      <c r="O273">
        <v>-1</v>
      </c>
      <c r="P273" t="str">
        <f>IF(Table1[[#This Row],[Delivery Delay]]&gt;0,"Late","On Time")</f>
        <v>On Time</v>
      </c>
      <c r="Q273">
        <v>42.555473179387704</v>
      </c>
      <c r="R273">
        <v>0.17546060240767458</v>
      </c>
      <c r="S273">
        <v>1.3822788237790444E-3</v>
      </c>
      <c r="T273">
        <v>0.94</v>
      </c>
      <c r="U273">
        <v>1</v>
      </c>
      <c r="V273">
        <v>51.750680412866856</v>
      </c>
    </row>
    <row r="274" spans="1:22" x14ac:dyDescent="0.35">
      <c r="A274" t="s">
        <v>106</v>
      </c>
      <c r="B274" t="s">
        <v>6</v>
      </c>
      <c r="C274" t="s">
        <v>11</v>
      </c>
      <c r="D274">
        <v>0.93</v>
      </c>
      <c r="E274" t="s">
        <v>35</v>
      </c>
      <c r="F274" t="s">
        <v>39</v>
      </c>
      <c r="G274">
        <v>0</v>
      </c>
      <c r="H274">
        <v>688.15980000000002</v>
      </c>
      <c r="I274" t="s">
        <v>47</v>
      </c>
      <c r="J274" s="1">
        <v>44422</v>
      </c>
      <c r="K274">
        <v>73.097718067492593</v>
      </c>
      <c r="L274" s="1">
        <v>44443</v>
      </c>
      <c r="M274" s="1">
        <v>44442</v>
      </c>
      <c r="N274">
        <v>657.87946260743297</v>
      </c>
      <c r="O274">
        <v>-1</v>
      </c>
      <c r="P274" t="str">
        <f>IF(Table1[[#This Row],[Delivery Delay]]&gt;0,"Late","On Time")</f>
        <v>On Time</v>
      </c>
      <c r="Q274">
        <v>73.097718067492551</v>
      </c>
      <c r="R274">
        <v>0.60861944628845144</v>
      </c>
      <c r="S274">
        <v>1.5200352904111186E-3</v>
      </c>
      <c r="T274">
        <v>0.93</v>
      </c>
      <c r="U274">
        <v>1</v>
      </c>
      <c r="V274">
        <v>60.117989984481369</v>
      </c>
    </row>
    <row r="275" spans="1:22" x14ac:dyDescent="0.35">
      <c r="A275" t="s">
        <v>108</v>
      </c>
      <c r="B275" t="s">
        <v>10</v>
      </c>
      <c r="C275" t="s">
        <v>7</v>
      </c>
      <c r="D275">
        <v>0.72</v>
      </c>
      <c r="E275" t="s">
        <v>36</v>
      </c>
      <c r="F275" t="s">
        <v>34</v>
      </c>
      <c r="G275">
        <v>1</v>
      </c>
      <c r="H275">
        <v>151.85</v>
      </c>
      <c r="I275" t="s">
        <v>45</v>
      </c>
      <c r="J275" s="1">
        <v>44503</v>
      </c>
      <c r="K275">
        <v>12.4696602173341</v>
      </c>
      <c r="L275" s="1">
        <v>44515</v>
      </c>
      <c r="M275" s="1">
        <v>44518</v>
      </c>
      <c r="N275">
        <v>162.10558282534399</v>
      </c>
      <c r="O275">
        <v>3</v>
      </c>
      <c r="P275" t="str">
        <f>IF(Table1[[#This Row],[Delivery Delay]]&gt;0,"Late","On Time")</f>
        <v>Late</v>
      </c>
      <c r="Q275">
        <v>12.469660217334154</v>
      </c>
      <c r="R275">
        <v>0.66018868744837178</v>
      </c>
      <c r="S275">
        <v>6.1688190040772462E-3</v>
      </c>
      <c r="T275">
        <v>0.72</v>
      </c>
      <c r="U275">
        <v>0</v>
      </c>
      <c r="V275">
        <v>34.988838319089751</v>
      </c>
    </row>
    <row r="276" spans="1:22" x14ac:dyDescent="0.35">
      <c r="A276" t="s">
        <v>107</v>
      </c>
      <c r="B276" t="s">
        <v>4</v>
      </c>
      <c r="C276" t="s">
        <v>9</v>
      </c>
      <c r="D276">
        <v>0.92</v>
      </c>
      <c r="E276" t="s">
        <v>38</v>
      </c>
      <c r="F276" t="s">
        <v>34</v>
      </c>
      <c r="G276">
        <v>1</v>
      </c>
      <c r="H276">
        <v>287.63400000000001</v>
      </c>
      <c r="I276" t="s">
        <v>50</v>
      </c>
      <c r="J276" s="1">
        <v>44287</v>
      </c>
      <c r="K276">
        <v>72.151990510038104</v>
      </c>
      <c r="L276" s="1">
        <v>44303</v>
      </c>
      <c r="M276" s="1">
        <v>44309</v>
      </c>
      <c r="N276">
        <v>505.06393357026599</v>
      </c>
      <c r="O276">
        <v>6</v>
      </c>
      <c r="P276" t="str">
        <f>IF(Table1[[#This Row],[Delivery Delay]]&gt;0,"Late","On Time")</f>
        <v>Late</v>
      </c>
      <c r="Q276">
        <v>72.151990510038004</v>
      </c>
      <c r="R276">
        <v>0.43710450972883275</v>
      </c>
      <c r="S276">
        <v>1.9799473562308466E-3</v>
      </c>
      <c r="T276">
        <v>0.92</v>
      </c>
      <c r="U276">
        <v>0</v>
      </c>
      <c r="V276">
        <v>36.401488615263581</v>
      </c>
    </row>
    <row r="277" spans="1:22" x14ac:dyDescent="0.35">
      <c r="A277" t="s">
        <v>100</v>
      </c>
      <c r="B277" t="s">
        <v>4</v>
      </c>
      <c r="C277" t="s">
        <v>7</v>
      </c>
      <c r="D277">
        <v>0.61</v>
      </c>
      <c r="E277" t="s">
        <v>38</v>
      </c>
      <c r="F277" t="s">
        <v>39</v>
      </c>
      <c r="G277">
        <v>0</v>
      </c>
      <c r="H277">
        <v>200.07299999999901</v>
      </c>
      <c r="I277" t="s">
        <v>49</v>
      </c>
      <c r="J277" s="1">
        <v>44628</v>
      </c>
      <c r="K277">
        <v>75.6642997591008</v>
      </c>
      <c r="L277" s="1">
        <v>44644</v>
      </c>
      <c r="M277" s="1">
        <v>44648</v>
      </c>
      <c r="N277">
        <v>1134.9644963865101</v>
      </c>
      <c r="O277">
        <v>4</v>
      </c>
      <c r="P277" t="str">
        <f>IF(Table1[[#This Row],[Delivery Delay]]&gt;0,"Late","On Time")</f>
        <v>Late</v>
      </c>
      <c r="Q277">
        <v>75.664299759100672</v>
      </c>
      <c r="R277">
        <v>0.18192208755806791</v>
      </c>
      <c r="S277">
        <v>8.8108482968744057E-4</v>
      </c>
      <c r="T277">
        <v>0.61</v>
      </c>
      <c r="U277">
        <v>1</v>
      </c>
      <c r="V277">
        <v>41.964874296051981</v>
      </c>
    </row>
    <row r="278" spans="1:22" x14ac:dyDescent="0.35">
      <c r="A278" t="s">
        <v>101</v>
      </c>
      <c r="B278" t="s">
        <v>8</v>
      </c>
      <c r="C278" t="s">
        <v>5</v>
      </c>
      <c r="D278">
        <v>0.83</v>
      </c>
      <c r="E278" t="s">
        <v>36</v>
      </c>
      <c r="F278" t="s">
        <v>39</v>
      </c>
      <c r="G278">
        <v>0</v>
      </c>
      <c r="H278">
        <v>34.660799999999902</v>
      </c>
      <c r="I278" t="s">
        <v>48</v>
      </c>
      <c r="J278" s="1">
        <v>44929</v>
      </c>
      <c r="K278">
        <v>72.6022334828494</v>
      </c>
      <c r="L278" s="1">
        <v>44939</v>
      </c>
      <c r="M278" s="1">
        <v>44937</v>
      </c>
      <c r="N278">
        <v>943.82903527704298</v>
      </c>
      <c r="O278">
        <v>-2</v>
      </c>
      <c r="P278" t="str">
        <f>IF(Table1[[#This Row],[Delivery Delay]]&gt;0,"Late","On Time")</f>
        <v>On Time</v>
      </c>
      <c r="Q278">
        <v>72.602233482849456</v>
      </c>
      <c r="R278">
        <v>0.23428830991856137</v>
      </c>
      <c r="S278">
        <v>1.0595139189657045E-3</v>
      </c>
      <c r="T278">
        <v>0.83</v>
      </c>
      <c r="U278">
        <v>1</v>
      </c>
      <c r="V278">
        <v>49.617551615940201</v>
      </c>
    </row>
    <row r="279" spans="1:22" x14ac:dyDescent="0.35">
      <c r="A279" t="s">
        <v>102</v>
      </c>
      <c r="B279" t="s">
        <v>14</v>
      </c>
      <c r="C279" t="s">
        <v>9</v>
      </c>
      <c r="D279">
        <v>0.69</v>
      </c>
      <c r="E279" t="s">
        <v>36</v>
      </c>
      <c r="F279" t="s">
        <v>34</v>
      </c>
      <c r="G279">
        <v>1</v>
      </c>
      <c r="H279">
        <v>608.39399999999898</v>
      </c>
      <c r="I279" t="s">
        <v>51</v>
      </c>
      <c r="J279" s="1">
        <v>44760</v>
      </c>
      <c r="K279">
        <v>16.129516436534999</v>
      </c>
      <c r="L279" s="1">
        <v>44773</v>
      </c>
      <c r="M279" s="1">
        <v>44771</v>
      </c>
      <c r="N279">
        <v>241.94274654802601</v>
      </c>
      <c r="O279">
        <v>-2</v>
      </c>
      <c r="P279" t="str">
        <f>IF(Table1[[#This Row],[Delivery Delay]]&gt;0,"Late","On Time")</f>
        <v>On Time</v>
      </c>
      <c r="Q279">
        <v>16.129516436535067</v>
      </c>
      <c r="R279">
        <v>0.36542945592279213</v>
      </c>
      <c r="S279">
        <v>4.1332092582552311E-3</v>
      </c>
      <c r="T279">
        <v>0.69</v>
      </c>
      <c r="U279">
        <v>0</v>
      </c>
      <c r="V279">
        <v>28.132585396203496</v>
      </c>
    </row>
    <row r="280" spans="1:22" x14ac:dyDescent="0.35">
      <c r="A280" t="s">
        <v>99</v>
      </c>
      <c r="B280" t="s">
        <v>12</v>
      </c>
      <c r="C280" t="s">
        <v>7</v>
      </c>
      <c r="D280">
        <v>0.65</v>
      </c>
      <c r="E280" t="s">
        <v>37</v>
      </c>
      <c r="F280" t="s">
        <v>39</v>
      </c>
      <c r="G280">
        <v>0</v>
      </c>
      <c r="H280">
        <v>347.85329999999999</v>
      </c>
      <c r="I280" t="s">
        <v>47</v>
      </c>
      <c r="J280" s="1">
        <v>44396</v>
      </c>
      <c r="K280">
        <v>20.486450129432701</v>
      </c>
      <c r="L280" s="1">
        <v>44415</v>
      </c>
      <c r="M280" s="1">
        <v>44416</v>
      </c>
      <c r="N280">
        <v>266.32385168262499</v>
      </c>
      <c r="O280">
        <v>1</v>
      </c>
      <c r="P280" t="str">
        <f>IF(Table1[[#This Row],[Delivery Delay]]&gt;0,"Late","On Time")</f>
        <v>Late</v>
      </c>
      <c r="Q280">
        <v>20.48645012943269</v>
      </c>
      <c r="R280">
        <v>0.43056303891814779</v>
      </c>
      <c r="S280">
        <v>3.754827041145711E-3</v>
      </c>
      <c r="T280">
        <v>0.65</v>
      </c>
      <c r="U280">
        <v>1</v>
      </c>
      <c r="V280">
        <v>48.223905589597329</v>
      </c>
    </row>
    <row r="281" spans="1:22" x14ac:dyDescent="0.35">
      <c r="A281" t="s">
        <v>103</v>
      </c>
      <c r="B281" t="s">
        <v>4</v>
      </c>
      <c r="C281" t="s">
        <v>9</v>
      </c>
      <c r="D281">
        <v>0.63</v>
      </c>
      <c r="E281" t="s">
        <v>35</v>
      </c>
      <c r="F281" t="s">
        <v>34</v>
      </c>
      <c r="G281">
        <v>1</v>
      </c>
      <c r="H281">
        <v>239.48249999999999</v>
      </c>
      <c r="I281" t="s">
        <v>46</v>
      </c>
      <c r="J281" s="1">
        <v>45265</v>
      </c>
      <c r="K281">
        <v>50.959455184546997</v>
      </c>
      <c r="L281" s="1">
        <v>45278</v>
      </c>
      <c r="M281" s="1">
        <v>45277</v>
      </c>
      <c r="N281">
        <v>815.35128295275297</v>
      </c>
      <c r="O281">
        <v>-1</v>
      </c>
      <c r="P281" t="str">
        <f>IF(Table1[[#This Row],[Delivery Delay]]&gt;0,"Late","On Time")</f>
        <v>On Time</v>
      </c>
      <c r="Q281">
        <v>50.95945518454706</v>
      </c>
      <c r="R281">
        <v>0.22549451170279627</v>
      </c>
      <c r="S281">
        <v>1.2264652314994233E-3</v>
      </c>
      <c r="T281">
        <v>0.63</v>
      </c>
      <c r="U281">
        <v>0</v>
      </c>
      <c r="V281">
        <v>23.446684191000912</v>
      </c>
    </row>
    <row r="282" spans="1:22" x14ac:dyDescent="0.35">
      <c r="A282" t="s">
        <v>104</v>
      </c>
      <c r="B282" t="s">
        <v>8</v>
      </c>
      <c r="C282" t="s">
        <v>9</v>
      </c>
      <c r="D282">
        <v>0.87</v>
      </c>
      <c r="E282" t="s">
        <v>38</v>
      </c>
      <c r="F282" t="s">
        <v>39</v>
      </c>
      <c r="G282">
        <v>0</v>
      </c>
      <c r="H282">
        <v>370.47</v>
      </c>
      <c r="I282" t="s">
        <v>47</v>
      </c>
      <c r="J282" s="1">
        <v>44541</v>
      </c>
      <c r="K282">
        <v>71.657515950638199</v>
      </c>
      <c r="L282" s="1">
        <v>44551</v>
      </c>
      <c r="M282" s="1">
        <v>44548</v>
      </c>
      <c r="N282">
        <v>1003.20522330893</v>
      </c>
      <c r="O282">
        <v>-3</v>
      </c>
      <c r="P282" t="str">
        <f>IF(Table1[[#This Row],[Delivery Delay]]&gt;0,"Late","On Time")</f>
        <v>On Time</v>
      </c>
      <c r="Q282">
        <v>71.657515950637858</v>
      </c>
      <c r="R282">
        <v>0.58667870207610817</v>
      </c>
      <c r="S282">
        <v>9.9680501732401475E-4</v>
      </c>
      <c r="T282">
        <v>0.87</v>
      </c>
      <c r="U282">
        <v>1</v>
      </c>
      <c r="V282">
        <v>57.863478192041896</v>
      </c>
    </row>
    <row r="283" spans="1:22" x14ac:dyDescent="0.35">
      <c r="A283" t="s">
        <v>105</v>
      </c>
      <c r="B283" t="s">
        <v>8</v>
      </c>
      <c r="C283" t="s">
        <v>9</v>
      </c>
      <c r="D283">
        <v>0.73</v>
      </c>
      <c r="E283" t="s">
        <v>38</v>
      </c>
      <c r="F283" t="s">
        <v>34</v>
      </c>
      <c r="G283">
        <v>1</v>
      </c>
      <c r="H283">
        <v>87.059200000000004</v>
      </c>
      <c r="I283" t="s">
        <v>46</v>
      </c>
      <c r="J283" s="1">
        <v>45099</v>
      </c>
      <c r="K283">
        <v>3.8793239738107199</v>
      </c>
      <c r="L283" s="1">
        <v>45121</v>
      </c>
      <c r="M283" s="1">
        <v>45124</v>
      </c>
      <c r="N283">
        <v>54.310535633350099</v>
      </c>
      <c r="O283">
        <v>3</v>
      </c>
      <c r="P283" t="str">
        <f>IF(Table1[[#This Row],[Delivery Delay]]&gt;0,"Late","On Time")</f>
        <v>Late</v>
      </c>
      <c r="Q283">
        <v>3.8793239738107212</v>
      </c>
      <c r="R283">
        <v>0.34809867444597986</v>
      </c>
      <c r="S283">
        <v>1.8412633724531651E-2</v>
      </c>
      <c r="T283">
        <v>0.73</v>
      </c>
      <c r="U283">
        <v>0</v>
      </c>
      <c r="V283">
        <v>29.414352500655543</v>
      </c>
    </row>
    <row r="284" spans="1:22" x14ac:dyDescent="0.35">
      <c r="A284" t="s">
        <v>106</v>
      </c>
      <c r="B284" t="s">
        <v>6</v>
      </c>
      <c r="C284" t="s">
        <v>7</v>
      </c>
      <c r="D284">
        <v>0.88</v>
      </c>
      <c r="E284" t="s">
        <v>37</v>
      </c>
      <c r="F284" t="s">
        <v>34</v>
      </c>
      <c r="G284">
        <v>1</v>
      </c>
      <c r="H284">
        <v>264.22079999999897</v>
      </c>
      <c r="I284" t="s">
        <v>48</v>
      </c>
      <c r="J284" s="1">
        <v>44594</v>
      </c>
      <c r="K284">
        <v>64.569289267689797</v>
      </c>
      <c r="L284" s="1">
        <v>44609</v>
      </c>
      <c r="M284" s="1">
        <v>44606</v>
      </c>
      <c r="N284">
        <v>968.53933901534697</v>
      </c>
      <c r="O284">
        <v>-3</v>
      </c>
      <c r="P284" t="str">
        <f>IF(Table1[[#This Row],[Delivery Delay]]&gt;0,"Late","On Time")</f>
        <v>On Time</v>
      </c>
      <c r="Q284">
        <v>64.569289267689797</v>
      </c>
      <c r="R284">
        <v>0.19700903873719014</v>
      </c>
      <c r="S284">
        <v>1.032482584565576E-3</v>
      </c>
      <c r="T284">
        <v>0.88</v>
      </c>
      <c r="U284">
        <v>0</v>
      </c>
      <c r="V284">
        <v>30.371155252280769</v>
      </c>
    </row>
    <row r="285" spans="1:22" x14ac:dyDescent="0.35">
      <c r="A285" t="s">
        <v>108</v>
      </c>
      <c r="B285" t="s">
        <v>10</v>
      </c>
      <c r="C285" t="s">
        <v>5</v>
      </c>
      <c r="D285">
        <v>0.63</v>
      </c>
      <c r="E285" t="s">
        <v>37</v>
      </c>
      <c r="F285" t="s">
        <v>34</v>
      </c>
      <c r="G285">
        <v>1</v>
      </c>
      <c r="H285">
        <v>25.531999999999901</v>
      </c>
      <c r="I285" t="s">
        <v>48</v>
      </c>
      <c r="J285" s="1">
        <v>45222</v>
      </c>
      <c r="K285">
        <v>47.444083915900897</v>
      </c>
      <c r="L285" s="1">
        <v>45235</v>
      </c>
      <c r="M285" s="1">
        <v>45233</v>
      </c>
      <c r="N285">
        <v>853.993510486216</v>
      </c>
      <c r="O285">
        <v>-2</v>
      </c>
      <c r="P285" t="str">
        <f>IF(Table1[[#This Row],[Delivery Delay]]&gt;0,"Late","On Time")</f>
        <v>On Time</v>
      </c>
      <c r="Q285">
        <v>47.44408391590089</v>
      </c>
      <c r="R285">
        <v>0.1514784754853096</v>
      </c>
      <c r="S285">
        <v>1.1709690855035374E-3</v>
      </c>
      <c r="T285">
        <v>0.63</v>
      </c>
      <c r="U285">
        <v>0</v>
      </c>
      <c r="V285">
        <v>21.9646985822713</v>
      </c>
    </row>
    <row r="286" spans="1:22" x14ac:dyDescent="0.35">
      <c r="A286" t="s">
        <v>102</v>
      </c>
      <c r="B286" t="s">
        <v>14</v>
      </c>
      <c r="C286" t="s">
        <v>9</v>
      </c>
      <c r="D286">
        <v>0.72</v>
      </c>
      <c r="E286" t="s">
        <v>36</v>
      </c>
      <c r="F286" t="s">
        <v>34</v>
      </c>
      <c r="G286">
        <v>1</v>
      </c>
      <c r="H286">
        <v>-38.7167999999999</v>
      </c>
      <c r="I286" t="s">
        <v>48</v>
      </c>
      <c r="J286" s="1">
        <v>44965</v>
      </c>
      <c r="K286">
        <v>29.617391811356299</v>
      </c>
      <c r="L286" s="1">
        <v>44989</v>
      </c>
      <c r="M286" s="1">
        <v>44991</v>
      </c>
      <c r="N286">
        <v>207.32174267949401</v>
      </c>
      <c r="O286">
        <v>2</v>
      </c>
      <c r="P286" t="str">
        <f>IF(Table1[[#This Row],[Delivery Delay]]&gt;0,"Late","On Time")</f>
        <v>Late</v>
      </c>
      <c r="Q286">
        <v>29.617391811356288</v>
      </c>
      <c r="R286">
        <v>0</v>
      </c>
      <c r="S286">
        <v>4.8234207713849639E-3</v>
      </c>
      <c r="T286">
        <v>0.72</v>
      </c>
      <c r="U286">
        <v>0</v>
      </c>
      <c r="V286">
        <v>21.744702623141549</v>
      </c>
    </row>
    <row r="287" spans="1:22" x14ac:dyDescent="0.35">
      <c r="A287" t="s">
        <v>99</v>
      </c>
      <c r="B287" t="s">
        <v>12</v>
      </c>
      <c r="C287" t="s">
        <v>7</v>
      </c>
      <c r="D287">
        <v>0.81</v>
      </c>
      <c r="E287" t="s">
        <v>37</v>
      </c>
      <c r="F287" t="s">
        <v>39</v>
      </c>
      <c r="G287">
        <v>0</v>
      </c>
      <c r="H287">
        <v>195.50239999999999</v>
      </c>
      <c r="I287" t="s">
        <v>46</v>
      </c>
      <c r="J287" s="1">
        <v>44604</v>
      </c>
      <c r="K287">
        <v>57.785858685740401</v>
      </c>
      <c r="L287" s="1">
        <v>44623</v>
      </c>
      <c r="M287" s="1">
        <v>44626</v>
      </c>
      <c r="N287">
        <v>635.64444554314503</v>
      </c>
      <c r="O287">
        <v>3</v>
      </c>
      <c r="P287" t="str">
        <f>IF(Table1[[#This Row],[Delivery Delay]]&gt;0,"Late","On Time")</f>
        <v>Late</v>
      </c>
      <c r="Q287">
        <v>57.785858685740457</v>
      </c>
      <c r="R287">
        <v>0.61270192276352442</v>
      </c>
      <c r="S287">
        <v>1.5732065418199647E-3</v>
      </c>
      <c r="T287">
        <v>0.81</v>
      </c>
      <c r="U287">
        <v>1</v>
      </c>
      <c r="V287">
        <v>56.60123465152509</v>
      </c>
    </row>
    <row r="288" spans="1:22" x14ac:dyDescent="0.35">
      <c r="A288" t="s">
        <v>103</v>
      </c>
      <c r="B288" t="s">
        <v>13</v>
      </c>
      <c r="C288" t="s">
        <v>9</v>
      </c>
      <c r="D288">
        <v>0.91</v>
      </c>
      <c r="E288" t="s">
        <v>35</v>
      </c>
      <c r="F288" t="s">
        <v>39</v>
      </c>
      <c r="G288">
        <v>0</v>
      </c>
      <c r="H288">
        <v>85.424000000000007</v>
      </c>
      <c r="I288" t="s">
        <v>47</v>
      </c>
      <c r="J288" s="1">
        <v>44841</v>
      </c>
      <c r="K288">
        <v>42.731129129901198</v>
      </c>
      <c r="L288" s="1">
        <v>44852</v>
      </c>
      <c r="M288" s="1">
        <v>44854</v>
      </c>
      <c r="N288">
        <v>427.311291299012</v>
      </c>
      <c r="O288">
        <v>2</v>
      </c>
      <c r="P288" t="str">
        <f>IF(Table1[[#This Row],[Delivery Delay]]&gt;0,"Late","On Time")</f>
        <v>Late</v>
      </c>
      <c r="Q288">
        <v>42.731129129901198</v>
      </c>
      <c r="R288">
        <v>7.7817779008584886E-2</v>
      </c>
      <c r="S288">
        <v>2.340214312989562E-3</v>
      </c>
      <c r="T288">
        <v>0.91</v>
      </c>
      <c r="U288">
        <v>1</v>
      </c>
      <c r="V288">
        <v>48.926562009561387</v>
      </c>
    </row>
    <row r="289" spans="1:22" x14ac:dyDescent="0.35">
      <c r="A289" t="s">
        <v>104</v>
      </c>
      <c r="B289" t="s">
        <v>15</v>
      </c>
      <c r="C289" t="s">
        <v>11</v>
      </c>
      <c r="D289">
        <v>0.72</v>
      </c>
      <c r="E289" t="s">
        <v>36</v>
      </c>
      <c r="F289" t="s">
        <v>34</v>
      </c>
      <c r="G289">
        <v>1</v>
      </c>
      <c r="H289">
        <v>480.070999999999</v>
      </c>
      <c r="I289" t="s">
        <v>48</v>
      </c>
      <c r="J289" s="1">
        <v>44668</v>
      </c>
      <c r="K289">
        <v>16.3970888628414</v>
      </c>
      <c r="L289" s="1">
        <v>44689</v>
      </c>
      <c r="M289" s="1">
        <v>44688</v>
      </c>
      <c r="N289">
        <v>163.970888628414</v>
      </c>
      <c r="O289">
        <v>-1</v>
      </c>
      <c r="P289" t="str">
        <f>IF(Table1[[#This Row],[Delivery Delay]]&gt;0,"Late","On Time")</f>
        <v>On Time</v>
      </c>
      <c r="Q289">
        <v>16.3970888628414</v>
      </c>
      <c r="R289">
        <v>0.42803442671039021</v>
      </c>
      <c r="S289">
        <v>6.0986435358423323E-3</v>
      </c>
      <c r="T289">
        <v>0.72</v>
      </c>
      <c r="U289">
        <v>0</v>
      </c>
      <c r="V289">
        <v>30.343647840283072</v>
      </c>
    </row>
    <row r="290" spans="1:22" x14ac:dyDescent="0.35">
      <c r="A290" t="s">
        <v>105</v>
      </c>
      <c r="B290" t="s">
        <v>10</v>
      </c>
      <c r="C290" t="s">
        <v>9</v>
      </c>
      <c r="D290">
        <v>0.84</v>
      </c>
      <c r="E290" t="s">
        <v>38</v>
      </c>
      <c r="F290" t="s">
        <v>34</v>
      </c>
      <c r="G290">
        <v>1</v>
      </c>
      <c r="H290">
        <v>6.8040000000000003</v>
      </c>
      <c r="I290" t="s">
        <v>45</v>
      </c>
      <c r="J290" s="1">
        <v>45363</v>
      </c>
      <c r="K290">
        <v>8.0735559464733306</v>
      </c>
      <c r="L290" s="1">
        <v>45386</v>
      </c>
      <c r="M290" s="1">
        <v>45385</v>
      </c>
      <c r="N290">
        <v>80.735559464733299</v>
      </c>
      <c r="O290">
        <v>-1</v>
      </c>
      <c r="P290" t="str">
        <f>IF(Table1[[#This Row],[Delivery Delay]]&gt;0,"Late","On Time")</f>
        <v>On Time</v>
      </c>
      <c r="Q290">
        <v>8.0735559464733306</v>
      </c>
      <c r="R290">
        <v>4.5413284920973941E-2</v>
      </c>
      <c r="S290">
        <v>1.238611593986436E-2</v>
      </c>
      <c r="T290">
        <v>0.84</v>
      </c>
      <c r="U290">
        <v>0</v>
      </c>
      <c r="V290">
        <v>26.47984917661541</v>
      </c>
    </row>
    <row r="291" spans="1:22" x14ac:dyDescent="0.35">
      <c r="A291" t="s">
        <v>106</v>
      </c>
      <c r="B291" t="s">
        <v>10</v>
      </c>
      <c r="C291" t="s">
        <v>11</v>
      </c>
      <c r="D291">
        <v>0.95</v>
      </c>
      <c r="E291" t="s">
        <v>36</v>
      </c>
      <c r="F291" t="s">
        <v>34</v>
      </c>
      <c r="G291">
        <v>1</v>
      </c>
      <c r="H291">
        <v>229.94519999999901</v>
      </c>
      <c r="I291" t="s">
        <v>50</v>
      </c>
      <c r="J291" s="1">
        <v>45111</v>
      </c>
      <c r="K291">
        <v>38.6640445128862</v>
      </c>
      <c r="L291" s="1">
        <v>45135</v>
      </c>
      <c r="M291" s="1">
        <v>45134</v>
      </c>
      <c r="N291">
        <v>425.304489641749</v>
      </c>
      <c r="O291">
        <v>-1</v>
      </c>
      <c r="P291" t="str">
        <f>IF(Table1[[#This Row],[Delivery Delay]]&gt;0,"Late","On Time")</f>
        <v>On Time</v>
      </c>
      <c r="Q291">
        <v>38.664044512886271</v>
      </c>
      <c r="R291">
        <v>0.24210231955604197</v>
      </c>
      <c r="S291">
        <v>2.3512566275572123E-3</v>
      </c>
      <c r="T291">
        <v>0.95</v>
      </c>
      <c r="U291">
        <v>0</v>
      </c>
      <c r="V291">
        <v>33.412584089947558</v>
      </c>
    </row>
    <row r="292" spans="1:22" x14ac:dyDescent="0.35">
      <c r="A292" t="s">
        <v>108</v>
      </c>
      <c r="B292" t="s">
        <v>6</v>
      </c>
      <c r="C292" t="s">
        <v>7</v>
      </c>
      <c r="D292">
        <v>0.84</v>
      </c>
      <c r="E292" t="s">
        <v>37</v>
      </c>
      <c r="F292" t="s">
        <v>34</v>
      </c>
      <c r="G292">
        <v>1</v>
      </c>
      <c r="H292">
        <v>98.686800000000005</v>
      </c>
      <c r="I292" t="s">
        <v>46</v>
      </c>
      <c r="J292" s="1">
        <v>44489</v>
      </c>
      <c r="K292">
        <v>46.937008209945802</v>
      </c>
      <c r="L292" s="1">
        <v>44507</v>
      </c>
      <c r="M292" s="1">
        <v>44507</v>
      </c>
      <c r="N292">
        <v>610.18110672929595</v>
      </c>
      <c r="O292">
        <v>0</v>
      </c>
      <c r="P292" t="str">
        <f>IF(Table1[[#This Row],[Delivery Delay]]&gt;0,"Late","On Time")</f>
        <v>On Time</v>
      </c>
      <c r="Q292">
        <v>46.937008209945844</v>
      </c>
      <c r="R292">
        <v>0.21318935042647896</v>
      </c>
      <c r="S292">
        <v>1.6388576915470532E-3</v>
      </c>
      <c r="T292">
        <v>0.84</v>
      </c>
      <c r="U292">
        <v>0</v>
      </c>
      <c r="V292">
        <v>29.512952739275988</v>
      </c>
    </row>
    <row r="293" spans="1:22" x14ac:dyDescent="0.35">
      <c r="A293" t="s">
        <v>107</v>
      </c>
      <c r="B293" t="s">
        <v>13</v>
      </c>
      <c r="C293" t="s">
        <v>5</v>
      </c>
      <c r="D293">
        <v>0.69</v>
      </c>
      <c r="E293" t="s">
        <v>36</v>
      </c>
      <c r="F293" t="s">
        <v>39</v>
      </c>
      <c r="G293">
        <v>0</v>
      </c>
      <c r="H293">
        <v>426.82560000000001</v>
      </c>
      <c r="I293" t="s">
        <v>46</v>
      </c>
      <c r="J293" s="1">
        <v>45288</v>
      </c>
      <c r="K293">
        <v>31.102527965686601</v>
      </c>
      <c r="L293" s="1">
        <v>45301</v>
      </c>
      <c r="M293" s="1">
        <v>45307</v>
      </c>
      <c r="N293">
        <v>528.74297541667204</v>
      </c>
      <c r="O293">
        <v>6</v>
      </c>
      <c r="P293" t="str">
        <f>IF(Table1[[#This Row],[Delivery Delay]]&gt;0,"Late","On Time")</f>
        <v>Late</v>
      </c>
      <c r="Q293">
        <v>31.102527965686591</v>
      </c>
      <c r="R293">
        <v>0.68258720216163105</v>
      </c>
      <c r="S293">
        <v>1.8912780812113056E-3</v>
      </c>
      <c r="T293">
        <v>0.69</v>
      </c>
      <c r="U293">
        <v>1</v>
      </c>
      <c r="V293">
        <v>54.408482385668954</v>
      </c>
    </row>
    <row r="294" spans="1:22" x14ac:dyDescent="0.35">
      <c r="A294" t="s">
        <v>100</v>
      </c>
      <c r="B294" t="s">
        <v>4</v>
      </c>
      <c r="C294" t="s">
        <v>9</v>
      </c>
      <c r="D294">
        <v>0.61</v>
      </c>
      <c r="E294" t="s">
        <v>37</v>
      </c>
      <c r="F294" t="s">
        <v>34</v>
      </c>
      <c r="G294">
        <v>1</v>
      </c>
      <c r="H294">
        <v>-81.767999999999802</v>
      </c>
      <c r="I294" t="s">
        <v>47</v>
      </c>
      <c r="J294" s="1">
        <v>44912</v>
      </c>
      <c r="K294">
        <v>26.553542990995901</v>
      </c>
      <c r="L294" s="1">
        <v>44929</v>
      </c>
      <c r="M294" s="1">
        <v>44926</v>
      </c>
      <c r="N294">
        <v>238.981886918963</v>
      </c>
      <c r="O294">
        <v>-3</v>
      </c>
      <c r="P294" t="str">
        <f>IF(Table1[[#This Row],[Delivery Delay]]&gt;0,"Late","On Time")</f>
        <v>On Time</v>
      </c>
      <c r="Q294">
        <v>26.55354299099589</v>
      </c>
      <c r="R294">
        <v>0</v>
      </c>
      <c r="S294">
        <v>4.1844175426528985E-3</v>
      </c>
      <c r="T294">
        <v>0.61</v>
      </c>
      <c r="U294">
        <v>0</v>
      </c>
      <c r="V294">
        <v>18.425532526279586</v>
      </c>
    </row>
    <row r="295" spans="1:22" x14ac:dyDescent="0.35">
      <c r="A295" t="s">
        <v>101</v>
      </c>
      <c r="B295" t="s">
        <v>4</v>
      </c>
      <c r="C295" t="s">
        <v>9</v>
      </c>
      <c r="D295">
        <v>0.94</v>
      </c>
      <c r="E295" t="s">
        <v>36</v>
      </c>
      <c r="F295" t="s">
        <v>34</v>
      </c>
      <c r="G295">
        <v>1</v>
      </c>
      <c r="H295">
        <v>-105.65839999999901</v>
      </c>
      <c r="I295" t="s">
        <v>46</v>
      </c>
      <c r="J295" s="1">
        <v>44414</v>
      </c>
      <c r="K295">
        <v>29.703313209106401</v>
      </c>
      <c r="L295" s="1">
        <v>44428</v>
      </c>
      <c r="M295" s="1">
        <v>44425</v>
      </c>
      <c r="N295">
        <v>445.54969813659699</v>
      </c>
      <c r="O295">
        <v>-3</v>
      </c>
      <c r="P295" t="str">
        <f>IF(Table1[[#This Row],[Delivery Delay]]&gt;0,"Late","On Time")</f>
        <v>On Time</v>
      </c>
      <c r="Q295">
        <v>29.703313209106465</v>
      </c>
      <c r="R295">
        <v>0</v>
      </c>
      <c r="S295">
        <v>2.2444185332910252E-3</v>
      </c>
      <c r="T295">
        <v>0.94</v>
      </c>
      <c r="U295">
        <v>0</v>
      </c>
      <c r="V295">
        <v>28.267332555998724</v>
      </c>
    </row>
    <row r="296" spans="1:22" x14ac:dyDescent="0.35">
      <c r="A296" t="s">
        <v>102</v>
      </c>
      <c r="B296" t="s">
        <v>6</v>
      </c>
      <c r="C296" t="s">
        <v>9</v>
      </c>
      <c r="D296">
        <v>0.61</v>
      </c>
      <c r="E296" t="s">
        <v>38</v>
      </c>
      <c r="F296" t="s">
        <v>34</v>
      </c>
      <c r="G296">
        <v>1</v>
      </c>
      <c r="H296">
        <v>185.83459999999999</v>
      </c>
      <c r="I296" t="s">
        <v>46</v>
      </c>
      <c r="J296" s="1">
        <v>44496</v>
      </c>
      <c r="K296">
        <v>73.906259385469397</v>
      </c>
      <c r="L296" s="1">
        <v>44510</v>
      </c>
      <c r="M296" s="1">
        <v>44511</v>
      </c>
      <c r="N296">
        <v>517.34381569828497</v>
      </c>
      <c r="O296">
        <v>1</v>
      </c>
      <c r="P296" t="str">
        <f>IF(Table1[[#This Row],[Delivery Delay]]&gt;0,"Late","On Time")</f>
        <v>Late</v>
      </c>
      <c r="Q296">
        <v>73.906259385469284</v>
      </c>
      <c r="R296">
        <v>0.29212634988963204</v>
      </c>
      <c r="S296">
        <v>1.9329505246916882E-3</v>
      </c>
      <c r="T296">
        <v>0.61</v>
      </c>
      <c r="U296">
        <v>0</v>
      </c>
      <c r="V296">
        <v>24.200515513533389</v>
      </c>
    </row>
    <row r="297" spans="1:22" x14ac:dyDescent="0.35">
      <c r="A297" t="s">
        <v>99</v>
      </c>
      <c r="B297" t="s">
        <v>8</v>
      </c>
      <c r="C297" t="s">
        <v>7</v>
      </c>
      <c r="D297">
        <v>0.94</v>
      </c>
      <c r="E297" t="s">
        <v>38</v>
      </c>
      <c r="F297" t="s">
        <v>34</v>
      </c>
      <c r="G297">
        <v>1</v>
      </c>
      <c r="H297">
        <v>251.159999999999</v>
      </c>
      <c r="I297" t="s">
        <v>48</v>
      </c>
      <c r="J297" s="1">
        <v>44307</v>
      </c>
      <c r="K297">
        <v>5.0253406534500398</v>
      </c>
      <c r="L297" s="1">
        <v>44319</v>
      </c>
      <c r="M297" s="1">
        <v>44323</v>
      </c>
      <c r="N297">
        <v>75.380109801750606</v>
      </c>
      <c r="O297">
        <v>4</v>
      </c>
      <c r="P297" t="str">
        <f>IF(Table1[[#This Row],[Delivery Delay]]&gt;0,"Late","On Time")</f>
        <v>Late</v>
      </c>
      <c r="Q297">
        <v>5.0253406534500407</v>
      </c>
      <c r="R297">
        <v>0.44598337950138328</v>
      </c>
      <c r="S297">
        <v>1.3266099009805054E-2</v>
      </c>
      <c r="T297">
        <v>0.94</v>
      </c>
      <c r="U297">
        <v>0</v>
      </c>
      <c r="V297">
        <v>37.517650560321812</v>
      </c>
    </row>
    <row r="298" spans="1:22" x14ac:dyDescent="0.35">
      <c r="A298" t="s">
        <v>103</v>
      </c>
      <c r="B298" t="s">
        <v>4</v>
      </c>
      <c r="C298" t="s">
        <v>9</v>
      </c>
      <c r="D298">
        <v>0.81</v>
      </c>
      <c r="E298" t="s">
        <v>38</v>
      </c>
      <c r="F298" t="s">
        <v>34</v>
      </c>
      <c r="G298">
        <v>1</v>
      </c>
      <c r="H298">
        <v>210.5104</v>
      </c>
      <c r="I298" t="s">
        <v>47</v>
      </c>
      <c r="J298" s="1">
        <v>45384</v>
      </c>
      <c r="K298">
        <v>33.3056878851758</v>
      </c>
      <c r="L298" s="1">
        <v>45405</v>
      </c>
      <c r="M298" s="1">
        <v>45410</v>
      </c>
      <c r="N298">
        <v>299.75119096658199</v>
      </c>
      <c r="O298">
        <v>5</v>
      </c>
      <c r="P298" t="str">
        <f>IF(Table1[[#This Row],[Delivery Delay]]&gt;0,"Late","On Time")</f>
        <v>Late</v>
      </c>
      <c r="Q298">
        <v>33.305687885175779</v>
      </c>
      <c r="R298">
        <v>0.77773705584356478</v>
      </c>
      <c r="S298">
        <v>3.3361001728646538E-3</v>
      </c>
      <c r="T298">
        <v>0.81</v>
      </c>
      <c r="U298">
        <v>0</v>
      </c>
      <c r="V298">
        <v>39.954824122057232</v>
      </c>
    </row>
    <row r="299" spans="1:22" x14ac:dyDescent="0.35">
      <c r="A299" t="s">
        <v>104</v>
      </c>
      <c r="B299" t="s">
        <v>14</v>
      </c>
      <c r="C299" t="s">
        <v>9</v>
      </c>
      <c r="D299">
        <v>0.97</v>
      </c>
      <c r="E299" t="s">
        <v>35</v>
      </c>
      <c r="F299" t="s">
        <v>39</v>
      </c>
      <c r="G299">
        <v>0</v>
      </c>
      <c r="H299">
        <v>-22.1997999999999</v>
      </c>
      <c r="I299" t="s">
        <v>48</v>
      </c>
      <c r="J299" s="1">
        <v>44239</v>
      </c>
      <c r="K299">
        <v>60.219709383235802</v>
      </c>
      <c r="L299" s="1">
        <v>44253</v>
      </c>
      <c r="M299" s="1">
        <v>44252</v>
      </c>
      <c r="N299">
        <v>662.41680321559397</v>
      </c>
      <c r="O299">
        <v>-1</v>
      </c>
      <c r="P299" t="str">
        <f>IF(Table1[[#This Row],[Delivery Delay]]&gt;0,"Late","On Time")</f>
        <v>On Time</v>
      </c>
      <c r="Q299">
        <v>60.219709383235816</v>
      </c>
      <c r="R299">
        <v>0</v>
      </c>
      <c r="S299">
        <v>1.5096235408668132E-3</v>
      </c>
      <c r="T299">
        <v>0.97</v>
      </c>
      <c r="U299">
        <v>1</v>
      </c>
      <c r="V299">
        <v>49.145288706226005</v>
      </c>
    </row>
    <row r="300" spans="1:22" x14ac:dyDescent="0.35">
      <c r="A300" t="s">
        <v>105</v>
      </c>
      <c r="B300" t="s">
        <v>12</v>
      </c>
      <c r="C300" t="s">
        <v>7</v>
      </c>
      <c r="D300">
        <v>0.91</v>
      </c>
      <c r="E300" t="s">
        <v>36</v>
      </c>
      <c r="F300" t="s">
        <v>34</v>
      </c>
      <c r="G300">
        <v>1</v>
      </c>
      <c r="H300">
        <v>1702.3565000000001</v>
      </c>
      <c r="I300" t="s">
        <v>50</v>
      </c>
      <c r="J300" s="1">
        <v>44218</v>
      </c>
      <c r="K300">
        <v>21.0255220765624</v>
      </c>
      <c r="L300" s="1">
        <v>44239</v>
      </c>
      <c r="M300" s="1">
        <v>44242</v>
      </c>
      <c r="N300">
        <v>126.15313245937401</v>
      </c>
      <c r="O300">
        <v>3</v>
      </c>
      <c r="P300" t="str">
        <f>IF(Table1[[#This Row],[Delivery Delay]]&gt;0,"Late","On Time")</f>
        <v>Late</v>
      </c>
      <c r="Q300">
        <v>21.025522076562336</v>
      </c>
      <c r="R300">
        <v>0.75992409492776547</v>
      </c>
      <c r="S300">
        <v>7.926874113268945E-3</v>
      </c>
      <c r="T300">
        <v>0.91</v>
      </c>
      <c r="U300">
        <v>0</v>
      </c>
      <c r="V300">
        <v>42.736288121953379</v>
      </c>
    </row>
    <row r="301" spans="1:22" x14ac:dyDescent="0.35">
      <c r="A301" t="s">
        <v>106</v>
      </c>
      <c r="B301" t="s">
        <v>10</v>
      </c>
      <c r="C301" t="s">
        <v>9</v>
      </c>
      <c r="D301">
        <v>0.99</v>
      </c>
      <c r="E301" t="s">
        <v>37</v>
      </c>
      <c r="F301" t="s">
        <v>34</v>
      </c>
      <c r="G301">
        <v>1</v>
      </c>
      <c r="H301">
        <v>275.91300000000001</v>
      </c>
      <c r="I301" t="s">
        <v>50</v>
      </c>
      <c r="J301" s="1">
        <v>44906</v>
      </c>
      <c r="K301">
        <v>32.118802331799699</v>
      </c>
      <c r="L301" s="1">
        <v>44922</v>
      </c>
      <c r="M301" s="1">
        <v>44920</v>
      </c>
      <c r="N301">
        <v>289.06922098619702</v>
      </c>
      <c r="O301">
        <v>-2</v>
      </c>
      <c r="P301" t="str">
        <f>IF(Table1[[#This Row],[Delivery Delay]]&gt;0,"Late","On Time")</f>
        <v>On Time</v>
      </c>
      <c r="Q301">
        <v>32.118802331799671</v>
      </c>
      <c r="R301">
        <v>0.51021019521693545</v>
      </c>
      <c r="S301">
        <v>3.459379025509429E-3</v>
      </c>
      <c r="T301">
        <v>0.99</v>
      </c>
      <c r="U301">
        <v>0</v>
      </c>
      <c r="V301">
        <v>40.007985275103991</v>
      </c>
    </row>
    <row r="302" spans="1:22" x14ac:dyDescent="0.35">
      <c r="A302" t="s">
        <v>108</v>
      </c>
      <c r="B302" t="s">
        <v>4</v>
      </c>
      <c r="C302" t="s">
        <v>5</v>
      </c>
      <c r="D302">
        <v>0.75</v>
      </c>
      <c r="E302" t="s">
        <v>36</v>
      </c>
      <c r="F302" t="s">
        <v>34</v>
      </c>
      <c r="G302">
        <v>1</v>
      </c>
      <c r="H302">
        <v>0.50239999999996598</v>
      </c>
      <c r="I302" t="s">
        <v>48</v>
      </c>
      <c r="J302" s="1">
        <v>44691</v>
      </c>
      <c r="K302">
        <v>43.818240399276497</v>
      </c>
      <c r="L302" s="1">
        <v>44701</v>
      </c>
      <c r="M302" s="1">
        <v>44703</v>
      </c>
      <c r="N302">
        <v>394.364163593488</v>
      </c>
      <c r="O302">
        <v>2</v>
      </c>
      <c r="P302" t="str">
        <f>IF(Table1[[#This Row],[Delivery Delay]]&gt;0,"Late","On Time")</f>
        <v>Late</v>
      </c>
      <c r="Q302">
        <v>43.818240399276448</v>
      </c>
      <c r="R302">
        <v>1.6973982236780497E-3</v>
      </c>
      <c r="S302">
        <v>2.5357273614516444E-3</v>
      </c>
      <c r="T302">
        <v>0.75</v>
      </c>
      <c r="U302">
        <v>0</v>
      </c>
      <c r="V302">
        <v>22.610019785317107</v>
      </c>
    </row>
    <row r="303" spans="1:22" x14ac:dyDescent="0.35">
      <c r="A303" t="s">
        <v>102</v>
      </c>
      <c r="B303" t="s">
        <v>6</v>
      </c>
      <c r="C303" t="s">
        <v>7</v>
      </c>
      <c r="D303">
        <v>0.8</v>
      </c>
      <c r="E303" t="s">
        <v>35</v>
      </c>
      <c r="F303" t="s">
        <v>39</v>
      </c>
      <c r="G303">
        <v>0</v>
      </c>
      <c r="H303">
        <v>121.08799999999999</v>
      </c>
      <c r="I303" t="s">
        <v>50</v>
      </c>
      <c r="J303" s="1">
        <v>45367</v>
      </c>
      <c r="K303">
        <v>75.894447211075502</v>
      </c>
      <c r="L303" s="1">
        <v>45391</v>
      </c>
      <c r="M303" s="1">
        <v>45394</v>
      </c>
      <c r="N303">
        <v>683.05002489967899</v>
      </c>
      <c r="O303">
        <v>3</v>
      </c>
      <c r="P303" t="str">
        <f>IF(Table1[[#This Row],[Delivery Delay]]&gt;0,"Late","On Time")</f>
        <v>Late</v>
      </c>
      <c r="Q303">
        <v>75.894447211075445</v>
      </c>
      <c r="R303">
        <v>0.27349809593935914</v>
      </c>
      <c r="S303">
        <v>1.4640216141517191E-3</v>
      </c>
      <c r="T303">
        <v>0.8</v>
      </c>
      <c r="U303">
        <v>1</v>
      </c>
      <c r="V303">
        <v>49.513882567211738</v>
      </c>
    </row>
    <row r="304" spans="1:22" x14ac:dyDescent="0.35">
      <c r="A304" t="s">
        <v>99</v>
      </c>
      <c r="B304" t="s">
        <v>8</v>
      </c>
      <c r="C304" t="s">
        <v>9</v>
      </c>
      <c r="D304">
        <v>0.62</v>
      </c>
      <c r="E304" t="s">
        <v>36</v>
      </c>
      <c r="F304" t="s">
        <v>39</v>
      </c>
      <c r="G304">
        <v>0</v>
      </c>
      <c r="H304">
        <v>288.211199999999</v>
      </c>
      <c r="I304" t="s">
        <v>47</v>
      </c>
      <c r="J304" s="1">
        <v>44419</v>
      </c>
      <c r="K304">
        <v>46.756341303689602</v>
      </c>
      <c r="L304" s="1">
        <v>44441</v>
      </c>
      <c r="M304" s="1">
        <v>44443</v>
      </c>
      <c r="N304">
        <v>607.83243694796499</v>
      </c>
      <c r="O304">
        <v>2</v>
      </c>
      <c r="P304" t="str">
        <f>IF(Table1[[#This Row],[Delivery Delay]]&gt;0,"Late","On Time")</f>
        <v>Late</v>
      </c>
      <c r="Q304">
        <v>46.756341303689616</v>
      </c>
      <c r="R304">
        <v>0.47012582309601386</v>
      </c>
      <c r="S304">
        <v>1.6451902518088344E-3</v>
      </c>
      <c r="T304">
        <v>0.62</v>
      </c>
      <c r="U304">
        <v>1</v>
      </c>
      <c r="V304">
        <v>48.051872169474549</v>
      </c>
    </row>
    <row r="305" spans="1:22" x14ac:dyDescent="0.35">
      <c r="A305" t="s">
        <v>103</v>
      </c>
      <c r="B305" t="s">
        <v>4</v>
      </c>
      <c r="C305" t="s">
        <v>9</v>
      </c>
      <c r="D305">
        <v>0.66</v>
      </c>
      <c r="E305" t="s">
        <v>35</v>
      </c>
      <c r="F305" t="s">
        <v>34</v>
      </c>
      <c r="G305">
        <v>1</v>
      </c>
      <c r="H305">
        <v>822.12479999999903</v>
      </c>
      <c r="I305" t="s">
        <v>51</v>
      </c>
      <c r="J305" s="1">
        <v>44564</v>
      </c>
      <c r="K305">
        <v>64.290359185126405</v>
      </c>
      <c r="L305" s="1">
        <v>44582</v>
      </c>
      <c r="M305" s="1">
        <v>44580</v>
      </c>
      <c r="N305">
        <v>707.19395103639101</v>
      </c>
      <c r="O305">
        <v>-2</v>
      </c>
      <c r="P305" t="str">
        <f>IF(Table1[[#This Row],[Delivery Delay]]&gt;0,"Late","On Time")</f>
        <v>On Time</v>
      </c>
      <c r="Q305">
        <v>64.290359185126462</v>
      </c>
      <c r="R305">
        <v>0.68994812579118481</v>
      </c>
      <c r="S305">
        <v>1.4140392441627965E-3</v>
      </c>
      <c r="T305">
        <v>0.66</v>
      </c>
      <c r="U305">
        <v>0</v>
      </c>
      <c r="V305">
        <v>33.641383693148583</v>
      </c>
    </row>
    <row r="306" spans="1:22" x14ac:dyDescent="0.35">
      <c r="A306" t="s">
        <v>104</v>
      </c>
      <c r="B306" t="s">
        <v>10</v>
      </c>
      <c r="C306" t="s">
        <v>9</v>
      </c>
      <c r="D306">
        <v>0.89</v>
      </c>
      <c r="E306" t="s">
        <v>38</v>
      </c>
      <c r="F306" t="s">
        <v>39</v>
      </c>
      <c r="G306">
        <v>0</v>
      </c>
      <c r="H306">
        <v>254.74</v>
      </c>
      <c r="I306" t="s">
        <v>48</v>
      </c>
      <c r="J306" s="1">
        <v>45053</v>
      </c>
      <c r="K306">
        <v>21.9085338944986</v>
      </c>
      <c r="L306" s="1">
        <v>45074</v>
      </c>
      <c r="M306" s="1">
        <v>45075</v>
      </c>
      <c r="N306">
        <v>131.451203366991</v>
      </c>
      <c r="O306">
        <v>1</v>
      </c>
      <c r="P306" t="str">
        <f>IF(Table1[[#This Row],[Delivery Delay]]&gt;0,"Late","On Time")</f>
        <v>Late</v>
      </c>
      <c r="Q306">
        <v>21.9085338944985</v>
      </c>
      <c r="R306">
        <v>0.22085240671382994</v>
      </c>
      <c r="S306">
        <v>7.6073856639270005E-3</v>
      </c>
      <c r="T306">
        <v>0.89</v>
      </c>
      <c r="U306">
        <v>1</v>
      </c>
      <c r="V306">
        <v>51.345269704194422</v>
      </c>
    </row>
    <row r="307" spans="1:22" x14ac:dyDescent="0.35">
      <c r="A307" t="s">
        <v>105</v>
      </c>
      <c r="B307" t="s">
        <v>4</v>
      </c>
      <c r="C307" t="s">
        <v>11</v>
      </c>
      <c r="D307">
        <v>0.63</v>
      </c>
      <c r="E307" t="s">
        <v>36</v>
      </c>
      <c r="F307" t="s">
        <v>34</v>
      </c>
      <c r="G307">
        <v>1</v>
      </c>
      <c r="H307">
        <v>265.05</v>
      </c>
      <c r="I307" t="s">
        <v>45</v>
      </c>
      <c r="J307" s="1">
        <v>44639</v>
      </c>
      <c r="K307">
        <v>32.2617769661572</v>
      </c>
      <c r="L307" s="1">
        <v>44649</v>
      </c>
      <c r="M307" s="1">
        <v>44646</v>
      </c>
      <c r="N307">
        <v>548.45020842467295</v>
      </c>
      <c r="O307">
        <v>-3</v>
      </c>
      <c r="P307" t="str">
        <f>IF(Table1[[#This Row],[Delivery Delay]]&gt;0,"Late","On Time")</f>
        <v>On Time</v>
      </c>
      <c r="Q307">
        <v>32.261776966157235</v>
      </c>
      <c r="R307">
        <v>0.40566600854033702</v>
      </c>
      <c r="S307">
        <v>1.8233195732978655E-3</v>
      </c>
      <c r="T307">
        <v>0.63</v>
      </c>
      <c r="U307">
        <v>0</v>
      </c>
      <c r="V307">
        <v>27.068019758005679</v>
      </c>
    </row>
    <row r="308" spans="1:22" x14ac:dyDescent="0.35">
      <c r="A308" t="s">
        <v>106</v>
      </c>
      <c r="B308" t="s">
        <v>6</v>
      </c>
      <c r="C308" t="s">
        <v>11</v>
      </c>
      <c r="D308">
        <v>0.84</v>
      </c>
      <c r="E308" t="s">
        <v>36</v>
      </c>
      <c r="F308" t="s">
        <v>39</v>
      </c>
      <c r="G308">
        <v>0</v>
      </c>
      <c r="H308">
        <v>329.582999999999</v>
      </c>
      <c r="I308" t="s">
        <v>45</v>
      </c>
      <c r="J308" s="1">
        <v>45360</v>
      </c>
      <c r="K308">
        <v>13.5052052215314</v>
      </c>
      <c r="L308" s="1">
        <v>45380</v>
      </c>
      <c r="M308" s="1">
        <v>45380</v>
      </c>
      <c r="N308">
        <v>135.05205221531401</v>
      </c>
      <c r="O308">
        <v>0</v>
      </c>
      <c r="P308" t="str">
        <f>IF(Table1[[#This Row],[Delivery Delay]]&gt;0,"Late","On Time")</f>
        <v>On Time</v>
      </c>
      <c r="Q308">
        <v>13.505205221531401</v>
      </c>
      <c r="R308">
        <v>0.3091967318771433</v>
      </c>
      <c r="S308">
        <v>7.4045524195789055E-3</v>
      </c>
      <c r="T308">
        <v>0.84</v>
      </c>
      <c r="U308">
        <v>1</v>
      </c>
      <c r="V308">
        <v>51.606071210130231</v>
      </c>
    </row>
    <row r="309" spans="1:22" x14ac:dyDescent="0.35">
      <c r="A309" t="s">
        <v>108</v>
      </c>
      <c r="B309" t="s">
        <v>4</v>
      </c>
      <c r="C309" t="s">
        <v>9</v>
      </c>
      <c r="D309">
        <v>0.7</v>
      </c>
      <c r="E309" t="s">
        <v>35</v>
      </c>
      <c r="F309" t="s">
        <v>34</v>
      </c>
      <c r="G309">
        <v>1</v>
      </c>
      <c r="H309">
        <v>-2.855</v>
      </c>
      <c r="I309" t="s">
        <v>46</v>
      </c>
      <c r="J309" s="1">
        <v>44574</v>
      </c>
      <c r="K309">
        <v>48.345469458925002</v>
      </c>
      <c r="L309" s="1">
        <v>44589</v>
      </c>
      <c r="M309" s="1">
        <v>44594</v>
      </c>
      <c r="N309">
        <v>676.83657242494996</v>
      </c>
      <c r="O309">
        <v>5</v>
      </c>
      <c r="P309" t="str">
        <f>IF(Table1[[#This Row],[Delivery Delay]]&gt;0,"Late","On Time")</f>
        <v>Late</v>
      </c>
      <c r="Q309">
        <v>48.345469458924995</v>
      </c>
      <c r="R309">
        <v>0</v>
      </c>
      <c r="S309">
        <v>1.4774615331692696E-3</v>
      </c>
      <c r="T309">
        <v>0.7</v>
      </c>
      <c r="U309">
        <v>0</v>
      </c>
      <c r="V309">
        <v>21.044323845995077</v>
      </c>
    </row>
    <row r="310" spans="1:22" x14ac:dyDescent="0.35">
      <c r="A310" t="s">
        <v>107</v>
      </c>
      <c r="B310" t="s">
        <v>6</v>
      </c>
      <c r="C310" t="s">
        <v>9</v>
      </c>
      <c r="D310">
        <v>0.75</v>
      </c>
      <c r="E310" t="s">
        <v>37</v>
      </c>
      <c r="F310" t="s">
        <v>34</v>
      </c>
      <c r="G310">
        <v>1</v>
      </c>
      <c r="H310">
        <v>374.55799999999903</v>
      </c>
      <c r="I310" t="s">
        <v>50</v>
      </c>
      <c r="J310" s="1">
        <v>44761</v>
      </c>
      <c r="K310">
        <v>62.978544645077598</v>
      </c>
      <c r="L310" s="1">
        <v>44773</v>
      </c>
      <c r="M310" s="1">
        <v>44777</v>
      </c>
      <c r="N310">
        <v>944.67816967616398</v>
      </c>
      <c r="O310">
        <v>4</v>
      </c>
      <c r="P310" t="str">
        <f>IF(Table1[[#This Row],[Delivery Delay]]&gt;0,"Late","On Time")</f>
        <v>Late</v>
      </c>
      <c r="Q310">
        <v>62.978544645077598</v>
      </c>
      <c r="R310">
        <v>0.64207227808652501</v>
      </c>
      <c r="S310">
        <v>1.0585615631859052E-3</v>
      </c>
      <c r="T310">
        <v>0.75</v>
      </c>
      <c r="U310">
        <v>0</v>
      </c>
      <c r="V310">
        <v>35.373202408626078</v>
      </c>
    </row>
    <row r="311" spans="1:22" x14ac:dyDescent="0.35">
      <c r="A311" t="s">
        <v>100</v>
      </c>
      <c r="B311" t="s">
        <v>12</v>
      </c>
      <c r="C311" t="s">
        <v>9</v>
      </c>
      <c r="D311">
        <v>0.71</v>
      </c>
      <c r="E311" t="s">
        <v>38</v>
      </c>
      <c r="F311" t="s">
        <v>34</v>
      </c>
      <c r="G311">
        <v>1</v>
      </c>
      <c r="H311">
        <v>232.6875</v>
      </c>
      <c r="I311" t="s">
        <v>45</v>
      </c>
      <c r="J311" s="1">
        <v>44875</v>
      </c>
      <c r="K311">
        <v>21.9105867178944</v>
      </c>
      <c r="L311" s="1">
        <v>44897</v>
      </c>
      <c r="M311" s="1">
        <v>44898</v>
      </c>
      <c r="N311">
        <v>153.374107025261</v>
      </c>
      <c r="O311">
        <v>1</v>
      </c>
      <c r="P311" t="str">
        <f>IF(Table1[[#This Row],[Delivery Delay]]&gt;0,"Late","On Time")</f>
        <v>Late</v>
      </c>
      <c r="Q311">
        <v>21.910586717894429</v>
      </c>
      <c r="R311">
        <v>0.22855353788353164</v>
      </c>
      <c r="S311">
        <v>6.5200053607177523E-3</v>
      </c>
      <c r="T311">
        <v>0.71</v>
      </c>
      <c r="U311">
        <v>0</v>
      </c>
      <c r="V311">
        <v>26.066670918492164</v>
      </c>
    </row>
    <row r="312" spans="1:22" x14ac:dyDescent="0.35">
      <c r="A312" t="s">
        <v>101</v>
      </c>
      <c r="B312" t="s">
        <v>13</v>
      </c>
      <c r="C312" t="s">
        <v>11</v>
      </c>
      <c r="D312">
        <v>0.74</v>
      </c>
      <c r="E312" t="s">
        <v>38</v>
      </c>
      <c r="F312" t="s">
        <v>34</v>
      </c>
      <c r="G312">
        <v>1</v>
      </c>
      <c r="H312">
        <v>41.4269999999999</v>
      </c>
      <c r="I312" t="s">
        <v>46</v>
      </c>
      <c r="J312" s="1">
        <v>44619</v>
      </c>
      <c r="K312">
        <v>28.029583658455898</v>
      </c>
      <c r="L312" s="1">
        <v>44639</v>
      </c>
      <c r="M312" s="1">
        <v>44642</v>
      </c>
      <c r="N312">
        <v>420.443754876838</v>
      </c>
      <c r="O312">
        <v>3</v>
      </c>
      <c r="P312" t="str">
        <f>IF(Table1[[#This Row],[Delivery Delay]]&gt;0,"Late","On Time")</f>
        <v>Late</v>
      </c>
      <c r="Q312">
        <v>28.029583658455866</v>
      </c>
      <c r="R312">
        <v>5.3733817400744718E-2</v>
      </c>
      <c r="S312">
        <v>2.3784394188300726E-3</v>
      </c>
      <c r="T312">
        <v>0.74</v>
      </c>
      <c r="U312">
        <v>0</v>
      </c>
      <c r="V312">
        <v>23.346029530579795</v>
      </c>
    </row>
    <row r="313" spans="1:22" x14ac:dyDescent="0.35">
      <c r="A313" t="s">
        <v>102</v>
      </c>
      <c r="B313" t="s">
        <v>6</v>
      </c>
      <c r="C313" t="s">
        <v>11</v>
      </c>
      <c r="D313">
        <v>0.88</v>
      </c>
      <c r="E313" t="s">
        <v>35</v>
      </c>
      <c r="F313" t="s">
        <v>34</v>
      </c>
      <c r="G313">
        <v>1</v>
      </c>
      <c r="H313">
        <v>312.46399999999898</v>
      </c>
      <c r="I313" t="s">
        <v>51</v>
      </c>
      <c r="J313" s="1">
        <v>44712</v>
      </c>
      <c r="K313">
        <v>70.069499576472396</v>
      </c>
      <c r="L313" s="1">
        <v>44722</v>
      </c>
      <c r="M313" s="1">
        <v>44724</v>
      </c>
      <c r="N313">
        <v>910.903494494141</v>
      </c>
      <c r="O313">
        <v>2</v>
      </c>
      <c r="P313" t="str">
        <f>IF(Table1[[#This Row],[Delivery Delay]]&gt;0,"Late","On Time")</f>
        <v>Late</v>
      </c>
      <c r="Q313">
        <v>70.069499576472381</v>
      </c>
      <c r="R313">
        <v>0.36879178154624692</v>
      </c>
      <c r="S313">
        <v>1.0978111359154876E-3</v>
      </c>
      <c r="T313">
        <v>0.88</v>
      </c>
      <c r="U313">
        <v>0</v>
      </c>
      <c r="V313">
        <v>33.808769965002405</v>
      </c>
    </row>
    <row r="314" spans="1:22" x14ac:dyDescent="0.35">
      <c r="A314" t="s">
        <v>99</v>
      </c>
      <c r="B314" t="s">
        <v>6</v>
      </c>
      <c r="C314" t="s">
        <v>9</v>
      </c>
      <c r="D314">
        <v>0.72</v>
      </c>
      <c r="E314" t="s">
        <v>37</v>
      </c>
      <c r="F314" t="s">
        <v>34</v>
      </c>
      <c r="G314">
        <v>1</v>
      </c>
      <c r="H314">
        <v>35.6965</v>
      </c>
      <c r="I314" t="s">
        <v>47</v>
      </c>
      <c r="J314" s="1">
        <v>44247</v>
      </c>
      <c r="K314">
        <v>3.3485748747338802</v>
      </c>
      <c r="L314" s="1">
        <v>44263</v>
      </c>
      <c r="M314" s="1">
        <v>44261</v>
      </c>
      <c r="N314">
        <v>33.485748747338803</v>
      </c>
      <c r="O314">
        <v>-2</v>
      </c>
      <c r="P314" t="str">
        <f>IF(Table1[[#This Row],[Delivery Delay]]&gt;0,"Late","On Time")</f>
        <v>On Time</v>
      </c>
      <c r="Q314">
        <v>3.3485748747338802</v>
      </c>
      <c r="R314">
        <v>4.6376165770124454E-2</v>
      </c>
      <c r="S314">
        <v>2.9863450494875751E-2</v>
      </c>
      <c r="T314">
        <v>0.72</v>
      </c>
      <c r="U314">
        <v>0</v>
      </c>
      <c r="V314">
        <v>23.423426830248761</v>
      </c>
    </row>
    <row r="315" spans="1:22" x14ac:dyDescent="0.35">
      <c r="A315" t="s">
        <v>103</v>
      </c>
      <c r="B315" t="s">
        <v>14</v>
      </c>
      <c r="C315" t="s">
        <v>5</v>
      </c>
      <c r="D315">
        <v>0.82</v>
      </c>
      <c r="E315" t="s">
        <v>36</v>
      </c>
      <c r="F315" t="s">
        <v>39</v>
      </c>
      <c r="G315">
        <v>0</v>
      </c>
      <c r="H315">
        <v>477.02849999999899</v>
      </c>
      <c r="I315" t="s">
        <v>47</v>
      </c>
      <c r="J315" s="1">
        <v>45349</v>
      </c>
      <c r="K315">
        <v>48.530367525258796</v>
      </c>
      <c r="L315" s="1">
        <v>45373</v>
      </c>
      <c r="M315" s="1">
        <v>45374</v>
      </c>
      <c r="N315">
        <v>582.36441030310596</v>
      </c>
      <c r="O315">
        <v>1</v>
      </c>
      <c r="P315" t="str">
        <f>IF(Table1[[#This Row],[Delivery Delay]]&gt;0,"Late","On Time")</f>
        <v>Late</v>
      </c>
      <c r="Q315">
        <v>48.530367525258832</v>
      </c>
      <c r="R315">
        <v>0.37786575635768599</v>
      </c>
      <c r="S315">
        <v>1.7171378990682574E-3</v>
      </c>
      <c r="T315">
        <v>0.82</v>
      </c>
      <c r="U315">
        <v>1</v>
      </c>
      <c r="V315">
        <v>52.208829264125768</v>
      </c>
    </row>
    <row r="316" spans="1:22" x14ac:dyDescent="0.35">
      <c r="A316" t="s">
        <v>104</v>
      </c>
      <c r="B316" t="s">
        <v>6</v>
      </c>
      <c r="C316" t="s">
        <v>7</v>
      </c>
      <c r="D316">
        <v>0.79</v>
      </c>
      <c r="E316" t="s">
        <v>38</v>
      </c>
      <c r="F316" t="s">
        <v>34</v>
      </c>
      <c r="G316">
        <v>1</v>
      </c>
      <c r="H316">
        <v>211.7244</v>
      </c>
      <c r="I316" t="s">
        <v>47</v>
      </c>
      <c r="J316" s="1">
        <v>44254</v>
      </c>
      <c r="K316">
        <v>42.916515759544403</v>
      </c>
      <c r="L316" s="1">
        <v>44270</v>
      </c>
      <c r="M316" s="1">
        <v>44268</v>
      </c>
      <c r="N316">
        <v>472.08167335498899</v>
      </c>
      <c r="O316">
        <v>-2</v>
      </c>
      <c r="P316" t="str">
        <f>IF(Table1[[#This Row],[Delivery Delay]]&gt;0,"Late","On Time")</f>
        <v>On Time</v>
      </c>
      <c r="Q316">
        <v>42.916515759544453</v>
      </c>
      <c r="R316">
        <v>0.36295545059574752</v>
      </c>
      <c r="S316">
        <v>2.1182775278972433E-3</v>
      </c>
      <c r="T316">
        <v>0.79</v>
      </c>
      <c r="U316">
        <v>0</v>
      </c>
      <c r="V316">
        <v>31.02265733775187</v>
      </c>
    </row>
    <row r="317" spans="1:22" x14ac:dyDescent="0.35">
      <c r="A317" t="s">
        <v>105</v>
      </c>
      <c r="B317" t="s">
        <v>6</v>
      </c>
      <c r="C317" t="s">
        <v>11</v>
      </c>
      <c r="D317">
        <v>0.86</v>
      </c>
      <c r="E317" t="s">
        <v>37</v>
      </c>
      <c r="F317" t="s">
        <v>34</v>
      </c>
      <c r="G317">
        <v>1</v>
      </c>
      <c r="H317">
        <v>263.95949999999999</v>
      </c>
      <c r="I317" t="s">
        <v>45</v>
      </c>
      <c r="J317" s="1">
        <v>44551</v>
      </c>
      <c r="K317">
        <v>53.3462168957887</v>
      </c>
      <c r="L317" s="1">
        <v>44567</v>
      </c>
      <c r="M317" s="1">
        <v>44569</v>
      </c>
      <c r="N317">
        <v>480.11595206209802</v>
      </c>
      <c r="O317">
        <v>2</v>
      </c>
      <c r="P317" t="str">
        <f>IF(Table1[[#This Row],[Delivery Delay]]&gt;0,"Late","On Time")</f>
        <v>Late</v>
      </c>
      <c r="Q317">
        <v>53.346216895788672</v>
      </c>
      <c r="R317">
        <v>0.22605862411088162</v>
      </c>
      <c r="S317">
        <v>2.0828301907174713E-3</v>
      </c>
      <c r="T317">
        <v>0.86</v>
      </c>
      <c r="U317">
        <v>0</v>
      </c>
      <c r="V317">
        <v>30.383657387939156</v>
      </c>
    </row>
    <row r="318" spans="1:22" x14ac:dyDescent="0.35">
      <c r="A318" t="s">
        <v>106</v>
      </c>
      <c r="B318" t="s">
        <v>8</v>
      </c>
      <c r="C318" t="s">
        <v>11</v>
      </c>
      <c r="D318">
        <v>0.97</v>
      </c>
      <c r="E318" t="s">
        <v>38</v>
      </c>
      <c r="F318" t="s">
        <v>34</v>
      </c>
      <c r="G318">
        <v>1</v>
      </c>
      <c r="H318">
        <v>384.47800000000001</v>
      </c>
      <c r="I318" t="s">
        <v>51</v>
      </c>
      <c r="J318" s="1">
        <v>44980</v>
      </c>
      <c r="K318">
        <v>37.969858508216397</v>
      </c>
      <c r="L318" s="1">
        <v>45002</v>
      </c>
      <c r="M318" s="1">
        <v>45007</v>
      </c>
      <c r="N318">
        <v>531.57801911502997</v>
      </c>
      <c r="O318">
        <v>5</v>
      </c>
      <c r="P318" t="str">
        <f>IF(Table1[[#This Row],[Delivery Delay]]&gt;0,"Late","On Time")</f>
        <v>Late</v>
      </c>
      <c r="Q318">
        <v>37.969858508216426</v>
      </c>
      <c r="R318">
        <v>0.44368409269777676</v>
      </c>
      <c r="S318">
        <v>1.8811914037845244E-3</v>
      </c>
      <c r="T318">
        <v>0.97</v>
      </c>
      <c r="U318">
        <v>0</v>
      </c>
      <c r="V318">
        <v>38.030117596069068</v>
      </c>
    </row>
    <row r="319" spans="1:22" x14ac:dyDescent="0.35">
      <c r="A319" t="s">
        <v>108</v>
      </c>
      <c r="B319" t="s">
        <v>13</v>
      </c>
      <c r="C319" t="s">
        <v>5</v>
      </c>
      <c r="D319">
        <v>0.89</v>
      </c>
      <c r="E319" t="s">
        <v>38</v>
      </c>
      <c r="F319" t="s">
        <v>34</v>
      </c>
      <c r="G319">
        <v>1</v>
      </c>
      <c r="H319">
        <v>363.74400000000003</v>
      </c>
      <c r="I319" t="s">
        <v>45</v>
      </c>
      <c r="J319" s="1">
        <v>45251</v>
      </c>
      <c r="K319">
        <v>24.534568828989599</v>
      </c>
      <c r="L319" s="1">
        <v>45264</v>
      </c>
      <c r="M319" s="1">
        <v>45262</v>
      </c>
      <c r="N319">
        <v>269.88025711888599</v>
      </c>
      <c r="O319">
        <v>-2</v>
      </c>
      <c r="P319" t="str">
        <f>IF(Table1[[#This Row],[Delivery Delay]]&gt;0,"Late","On Time")</f>
        <v>On Time</v>
      </c>
      <c r="Q319">
        <v>24.534568828989634</v>
      </c>
      <c r="R319">
        <v>0.28544747130567988</v>
      </c>
      <c r="S319">
        <v>3.7053469960178901E-3</v>
      </c>
      <c r="T319">
        <v>0.89</v>
      </c>
      <c r="U319">
        <v>0</v>
      </c>
      <c r="V319">
        <v>32.520109835994134</v>
      </c>
    </row>
    <row r="320" spans="1:22" x14ac:dyDescent="0.35">
      <c r="A320" t="s">
        <v>105</v>
      </c>
      <c r="B320" t="s">
        <v>12</v>
      </c>
      <c r="C320" t="s">
        <v>5</v>
      </c>
      <c r="D320">
        <v>0.68</v>
      </c>
      <c r="E320" t="s">
        <v>37</v>
      </c>
      <c r="F320" t="s">
        <v>34</v>
      </c>
      <c r="G320">
        <v>1</v>
      </c>
      <c r="H320">
        <v>196.51</v>
      </c>
      <c r="I320" t="s">
        <v>50</v>
      </c>
      <c r="J320" s="1">
        <v>45148</v>
      </c>
      <c r="K320">
        <v>38.8345547860038</v>
      </c>
      <c r="L320" s="1">
        <v>45165</v>
      </c>
      <c r="M320" s="1">
        <v>45169</v>
      </c>
      <c r="N320">
        <v>388.34554786003798</v>
      </c>
      <c r="O320">
        <v>4</v>
      </c>
      <c r="P320" t="str">
        <f>IF(Table1[[#This Row],[Delivery Delay]]&gt;0,"Late","On Time")</f>
        <v>Late</v>
      </c>
      <c r="Q320">
        <v>38.8345547860038</v>
      </c>
      <c r="R320">
        <v>0.44408035976588101</v>
      </c>
      <c r="S320">
        <v>2.5750263019891908E-3</v>
      </c>
      <c r="T320">
        <v>0.68</v>
      </c>
      <c r="U320">
        <v>0</v>
      </c>
      <c r="V320">
        <v>29.358857984377295</v>
      </c>
    </row>
    <row r="321" spans="1:22" x14ac:dyDescent="0.35">
      <c r="A321" t="s">
        <v>106</v>
      </c>
      <c r="B321" t="s">
        <v>10</v>
      </c>
      <c r="C321" t="s">
        <v>9</v>
      </c>
      <c r="D321">
        <v>0.61</v>
      </c>
      <c r="E321" t="s">
        <v>38</v>
      </c>
      <c r="F321" t="s">
        <v>39</v>
      </c>
      <c r="G321">
        <v>0</v>
      </c>
      <c r="H321">
        <v>83.731200000000001</v>
      </c>
      <c r="I321" t="s">
        <v>45</v>
      </c>
      <c r="J321" s="1">
        <v>44734</v>
      </c>
      <c r="K321">
        <v>25.3516346374523</v>
      </c>
      <c r="L321" s="1">
        <v>44753</v>
      </c>
      <c r="M321" s="1">
        <v>44750</v>
      </c>
      <c r="N321">
        <v>329.57125028688</v>
      </c>
      <c r="O321">
        <v>-3</v>
      </c>
      <c r="P321" t="str">
        <f>IF(Table1[[#This Row],[Delivery Delay]]&gt;0,"Late","On Time")</f>
        <v>On Time</v>
      </c>
      <c r="Q321">
        <v>25.351634637452307</v>
      </c>
      <c r="R321">
        <v>0.36289500509683997</v>
      </c>
      <c r="S321">
        <v>3.0342452478167793E-3</v>
      </c>
      <c r="T321">
        <v>0.61</v>
      </c>
      <c r="U321">
        <v>1</v>
      </c>
      <c r="V321">
        <v>45.648927459371301</v>
      </c>
    </row>
    <row r="322" spans="1:22" x14ac:dyDescent="0.35">
      <c r="A322" t="s">
        <v>108</v>
      </c>
      <c r="B322" t="s">
        <v>14</v>
      </c>
      <c r="C322" t="s">
        <v>9</v>
      </c>
      <c r="D322">
        <v>0.7</v>
      </c>
      <c r="E322" t="s">
        <v>35</v>
      </c>
      <c r="F322" t="s">
        <v>34</v>
      </c>
      <c r="G322">
        <v>1</v>
      </c>
      <c r="H322">
        <v>99.568799999999996</v>
      </c>
      <c r="I322" t="s">
        <v>51</v>
      </c>
      <c r="J322" s="1">
        <v>45328</v>
      </c>
      <c r="K322">
        <v>11.3082591094675</v>
      </c>
      <c r="L322" s="1">
        <v>45349</v>
      </c>
      <c r="M322" s="1">
        <v>45349</v>
      </c>
      <c r="N322">
        <v>135.69910931360999</v>
      </c>
      <c r="O322">
        <v>0</v>
      </c>
      <c r="P322" t="str">
        <f>IF(Table1[[#This Row],[Delivery Delay]]&gt;0,"Late","On Time")</f>
        <v>On Time</v>
      </c>
      <c r="Q322">
        <v>11.3082591094675</v>
      </c>
      <c r="R322">
        <v>0.14820120241340015</v>
      </c>
      <c r="S322">
        <v>7.3692451266495129E-3</v>
      </c>
      <c r="T322">
        <v>0.7</v>
      </c>
      <c r="U322">
        <v>0</v>
      </c>
      <c r="V322">
        <v>24.185101402067488</v>
      </c>
    </row>
    <row r="323" spans="1:22" x14ac:dyDescent="0.35">
      <c r="A323" t="s">
        <v>107</v>
      </c>
      <c r="B323" t="s">
        <v>8</v>
      </c>
      <c r="C323" t="s">
        <v>7</v>
      </c>
      <c r="D323">
        <v>0.83</v>
      </c>
      <c r="E323" t="s">
        <v>37</v>
      </c>
      <c r="F323" t="s">
        <v>39</v>
      </c>
      <c r="G323">
        <v>0</v>
      </c>
      <c r="H323">
        <v>16.907999999999902</v>
      </c>
      <c r="I323" t="s">
        <v>51</v>
      </c>
      <c r="J323" s="1">
        <v>44430</v>
      </c>
      <c r="K323">
        <v>17.055427179871199</v>
      </c>
      <c r="L323" s="1">
        <v>44450</v>
      </c>
      <c r="M323" s="1">
        <v>44454</v>
      </c>
      <c r="N323">
        <v>187.609698978583</v>
      </c>
      <c r="O323">
        <v>4</v>
      </c>
      <c r="P323" t="str">
        <f>IF(Table1[[#This Row],[Delivery Delay]]&gt;0,"Late","On Time")</f>
        <v>Late</v>
      </c>
      <c r="Q323">
        <v>17.055427179871181</v>
      </c>
      <c r="R323">
        <v>0.10666969490498908</v>
      </c>
      <c r="S323">
        <v>5.3302148313459918E-3</v>
      </c>
      <c r="T323">
        <v>0.83</v>
      </c>
      <c r="U323">
        <v>1</v>
      </c>
      <c r="V323">
        <v>47.193300343040164</v>
      </c>
    </row>
    <row r="324" spans="1:22" x14ac:dyDescent="0.35">
      <c r="A324" t="s">
        <v>100</v>
      </c>
      <c r="B324" t="s">
        <v>15</v>
      </c>
      <c r="C324" t="s">
        <v>7</v>
      </c>
      <c r="D324">
        <v>0.62</v>
      </c>
      <c r="E324" t="s">
        <v>36</v>
      </c>
      <c r="F324" t="s">
        <v>34</v>
      </c>
      <c r="G324">
        <v>1</v>
      </c>
      <c r="H324">
        <v>977.32159999999999</v>
      </c>
      <c r="I324" t="s">
        <v>50</v>
      </c>
      <c r="J324" s="1">
        <v>45071</v>
      </c>
      <c r="K324">
        <v>34.645212507321403</v>
      </c>
      <c r="L324" s="1">
        <v>45091</v>
      </c>
      <c r="M324" s="1">
        <v>45095</v>
      </c>
      <c r="N324">
        <v>346.45212507321401</v>
      </c>
      <c r="O324">
        <v>4</v>
      </c>
      <c r="P324" t="str">
        <f>IF(Table1[[#This Row],[Delivery Delay]]&gt;0,"Late","On Time")</f>
        <v>Late</v>
      </c>
      <c r="Q324">
        <v>34.645212507321403</v>
      </c>
      <c r="R324">
        <v>0.46646597570325843</v>
      </c>
      <c r="S324">
        <v>2.8864016919759837E-3</v>
      </c>
      <c r="T324">
        <v>0.62</v>
      </c>
      <c r="U324">
        <v>0</v>
      </c>
      <c r="V324">
        <v>28.015911564824446</v>
      </c>
    </row>
    <row r="325" spans="1:22" x14ac:dyDescent="0.35">
      <c r="A325" t="s">
        <v>101</v>
      </c>
      <c r="B325" t="s">
        <v>13</v>
      </c>
      <c r="C325" t="s">
        <v>9</v>
      </c>
      <c r="D325">
        <v>0.79</v>
      </c>
      <c r="E325" t="s">
        <v>38</v>
      </c>
      <c r="F325" t="s">
        <v>34</v>
      </c>
      <c r="G325">
        <v>1</v>
      </c>
      <c r="H325">
        <v>54.6648</v>
      </c>
      <c r="I325" t="s">
        <v>51</v>
      </c>
      <c r="J325" s="1">
        <v>45214</v>
      </c>
      <c r="K325">
        <v>40.649246306417602</v>
      </c>
      <c r="L325" s="1">
        <v>45236</v>
      </c>
      <c r="M325" s="1">
        <v>45242</v>
      </c>
      <c r="N325">
        <v>406.49246306417598</v>
      </c>
      <c r="O325">
        <v>6</v>
      </c>
      <c r="P325" t="str">
        <f>IF(Table1[[#This Row],[Delivery Delay]]&gt;0,"Late","On Time")</f>
        <v>Late</v>
      </c>
      <c r="Q325">
        <v>40.649246306417595</v>
      </c>
      <c r="R325">
        <v>9.1657210002333983E-2</v>
      </c>
      <c r="S325">
        <v>2.4600702125247586E-3</v>
      </c>
      <c r="T325">
        <v>0.79</v>
      </c>
      <c r="U325">
        <v>0</v>
      </c>
      <c r="V325">
        <v>25.606946306422419</v>
      </c>
    </row>
    <row r="326" spans="1:22" x14ac:dyDescent="0.35">
      <c r="A326" t="s">
        <v>102</v>
      </c>
      <c r="B326" t="s">
        <v>12</v>
      </c>
      <c r="C326" t="s">
        <v>9</v>
      </c>
      <c r="D326">
        <v>0.83</v>
      </c>
      <c r="E326" t="s">
        <v>36</v>
      </c>
      <c r="F326" t="s">
        <v>39</v>
      </c>
      <c r="G326">
        <v>0</v>
      </c>
      <c r="H326">
        <v>176.9468</v>
      </c>
      <c r="I326" t="s">
        <v>51</v>
      </c>
      <c r="J326" s="1">
        <v>44335</v>
      </c>
      <c r="K326">
        <v>55.964817573600698</v>
      </c>
      <c r="L326" s="1">
        <v>44346</v>
      </c>
      <c r="M326" s="1">
        <v>44350</v>
      </c>
      <c r="N326">
        <v>615.61299330960696</v>
      </c>
      <c r="O326">
        <v>4</v>
      </c>
      <c r="P326" t="str">
        <f>IF(Table1[[#This Row],[Delivery Delay]]&gt;0,"Late","On Time")</f>
        <v>Late</v>
      </c>
      <c r="Q326">
        <v>55.964817573600634</v>
      </c>
      <c r="R326">
        <v>0.42333107169891487</v>
      </c>
      <c r="S326">
        <v>1.6243971632630492E-3</v>
      </c>
      <c r="T326">
        <v>0.83</v>
      </c>
      <c r="U326">
        <v>1</v>
      </c>
      <c r="V326">
        <v>53.415353348876195</v>
      </c>
    </row>
    <row r="327" spans="1:22" x14ac:dyDescent="0.35">
      <c r="A327" t="s">
        <v>99</v>
      </c>
      <c r="B327" t="s">
        <v>12</v>
      </c>
      <c r="C327" t="s">
        <v>11</v>
      </c>
      <c r="D327">
        <v>0.73</v>
      </c>
      <c r="E327" t="s">
        <v>36</v>
      </c>
      <c r="F327" t="s">
        <v>34</v>
      </c>
      <c r="G327">
        <v>1</v>
      </c>
      <c r="H327">
        <v>158.368799999999</v>
      </c>
      <c r="I327" t="s">
        <v>47</v>
      </c>
      <c r="J327" s="1">
        <v>45195</v>
      </c>
      <c r="K327">
        <v>52.966038826101901</v>
      </c>
      <c r="L327" s="1">
        <v>45219</v>
      </c>
      <c r="M327" s="1">
        <v>45219</v>
      </c>
      <c r="N327">
        <v>264.83019413050903</v>
      </c>
      <c r="O327">
        <v>0</v>
      </c>
      <c r="P327" t="str">
        <f>IF(Table1[[#This Row],[Delivery Delay]]&gt;0,"Late","On Time")</f>
        <v>On Time</v>
      </c>
      <c r="Q327">
        <v>52.966038826101808</v>
      </c>
      <c r="R327">
        <v>0.19412489789274054</v>
      </c>
      <c r="S327">
        <v>3.7760044819783551E-3</v>
      </c>
      <c r="T327">
        <v>0.73</v>
      </c>
      <c r="U327">
        <v>0</v>
      </c>
      <c r="V327">
        <v>25.89577809231416</v>
      </c>
    </row>
    <row r="328" spans="1:22" x14ac:dyDescent="0.35">
      <c r="A328" t="s">
        <v>103</v>
      </c>
      <c r="B328" t="s">
        <v>15</v>
      </c>
      <c r="C328" t="s">
        <v>9</v>
      </c>
      <c r="D328">
        <v>0.9</v>
      </c>
      <c r="E328" t="s">
        <v>36</v>
      </c>
      <c r="F328" t="s">
        <v>34</v>
      </c>
      <c r="G328">
        <v>1</v>
      </c>
      <c r="H328">
        <v>-6.3769999999999998</v>
      </c>
      <c r="I328" t="s">
        <v>50</v>
      </c>
      <c r="J328" s="1">
        <v>44297</v>
      </c>
      <c r="K328">
        <v>36.945626478723</v>
      </c>
      <c r="L328" s="1">
        <v>44311</v>
      </c>
      <c r="M328" s="1">
        <v>44314</v>
      </c>
      <c r="N328">
        <v>332.510638308507</v>
      </c>
      <c r="O328">
        <v>3</v>
      </c>
      <c r="P328" t="str">
        <f>IF(Table1[[#This Row],[Delivery Delay]]&gt;0,"Late","On Time")</f>
        <v>Late</v>
      </c>
      <c r="Q328">
        <v>36.945626478723</v>
      </c>
      <c r="R328">
        <v>0</v>
      </c>
      <c r="S328">
        <v>3.0074225747694396E-3</v>
      </c>
      <c r="T328">
        <v>0.9</v>
      </c>
      <c r="U328">
        <v>0</v>
      </c>
      <c r="V328">
        <v>27.090222677243087</v>
      </c>
    </row>
    <row r="329" spans="1:22" x14ac:dyDescent="0.35">
      <c r="A329" t="s">
        <v>104</v>
      </c>
      <c r="B329" t="s">
        <v>10</v>
      </c>
      <c r="C329" t="s">
        <v>11</v>
      </c>
      <c r="D329">
        <v>0.64</v>
      </c>
      <c r="E329" t="s">
        <v>37</v>
      </c>
      <c r="F329" t="s">
        <v>34</v>
      </c>
      <c r="G329">
        <v>1</v>
      </c>
      <c r="H329">
        <v>145.7568</v>
      </c>
      <c r="I329" t="s">
        <v>49</v>
      </c>
      <c r="J329" s="1">
        <v>44491</v>
      </c>
      <c r="K329">
        <v>57.812721565646399</v>
      </c>
      <c r="L329" s="1">
        <v>44503</v>
      </c>
      <c r="M329" s="1">
        <v>44501</v>
      </c>
      <c r="N329">
        <v>462.50177252517102</v>
      </c>
      <c r="O329">
        <v>-2</v>
      </c>
      <c r="P329" t="str">
        <f>IF(Table1[[#This Row],[Delivery Delay]]&gt;0,"Late","On Time")</f>
        <v>On Time</v>
      </c>
      <c r="Q329">
        <v>57.812721565646378</v>
      </c>
      <c r="R329">
        <v>0.25463403589831746</v>
      </c>
      <c r="S329">
        <v>2.1621538757358523E-3</v>
      </c>
      <c r="T329">
        <v>0.64</v>
      </c>
      <c r="U329">
        <v>0</v>
      </c>
      <c r="V329">
        <v>24.357545334238427</v>
      </c>
    </row>
    <row r="330" spans="1:22" x14ac:dyDescent="0.35">
      <c r="A330" t="s">
        <v>105</v>
      </c>
      <c r="B330" t="s">
        <v>6</v>
      </c>
      <c r="C330" t="s">
        <v>5</v>
      </c>
      <c r="D330">
        <v>0.63</v>
      </c>
      <c r="E330" t="s">
        <v>37</v>
      </c>
      <c r="F330" t="s">
        <v>34</v>
      </c>
      <c r="G330">
        <v>1</v>
      </c>
      <c r="H330">
        <v>283.584</v>
      </c>
      <c r="I330" t="s">
        <v>49</v>
      </c>
      <c r="J330" s="1">
        <v>45001</v>
      </c>
      <c r="K330">
        <v>69.747540784407903</v>
      </c>
      <c r="L330" s="1">
        <v>45020</v>
      </c>
      <c r="M330" s="1">
        <v>45025</v>
      </c>
      <c r="N330">
        <v>836.97048941289495</v>
      </c>
      <c r="O330">
        <v>5</v>
      </c>
      <c r="P330" t="str">
        <f>IF(Table1[[#This Row],[Delivery Delay]]&gt;0,"Late","On Time")</f>
        <v>Late</v>
      </c>
      <c r="Q330">
        <v>69.747540784407917</v>
      </c>
      <c r="R330">
        <v>0.12749451059307174</v>
      </c>
      <c r="S330">
        <v>1.1947852554532292E-3</v>
      </c>
      <c r="T330">
        <v>0.63</v>
      </c>
      <c r="U330">
        <v>0</v>
      </c>
      <c r="V330">
        <v>21.485733769525034</v>
      </c>
    </row>
    <row r="331" spans="1:22" x14ac:dyDescent="0.35">
      <c r="A331" t="s">
        <v>106</v>
      </c>
      <c r="B331" t="s">
        <v>8</v>
      </c>
      <c r="C331" t="s">
        <v>9</v>
      </c>
      <c r="D331">
        <v>0.88</v>
      </c>
      <c r="E331" t="s">
        <v>38</v>
      </c>
      <c r="F331" t="s">
        <v>34</v>
      </c>
      <c r="G331">
        <v>1</v>
      </c>
      <c r="H331">
        <v>21.673199999999898</v>
      </c>
      <c r="I331" t="s">
        <v>51</v>
      </c>
      <c r="J331" s="1">
        <v>44615</v>
      </c>
      <c r="K331">
        <v>33.849874758262096</v>
      </c>
      <c r="L331" s="1">
        <v>44638</v>
      </c>
      <c r="M331" s="1">
        <v>44639</v>
      </c>
      <c r="N331">
        <v>169.24937379131001</v>
      </c>
      <c r="O331">
        <v>1</v>
      </c>
      <c r="P331" t="str">
        <f>IF(Table1[[#This Row],[Delivery Delay]]&gt;0,"Late","On Time")</f>
        <v>Late</v>
      </c>
      <c r="Q331">
        <v>33.849874758262004</v>
      </c>
      <c r="R331">
        <v>0.49332167927671783</v>
      </c>
      <c r="S331">
        <v>5.9084413584479939E-3</v>
      </c>
      <c r="T331">
        <v>0.88</v>
      </c>
      <c r="U331">
        <v>0</v>
      </c>
      <c r="V331">
        <v>36.443686826287795</v>
      </c>
    </row>
    <row r="332" spans="1:22" x14ac:dyDescent="0.35">
      <c r="A332" t="s">
        <v>108</v>
      </c>
      <c r="B332" t="s">
        <v>4</v>
      </c>
      <c r="C332" t="s">
        <v>5</v>
      </c>
      <c r="D332">
        <v>0.79</v>
      </c>
      <c r="E332" t="s">
        <v>37</v>
      </c>
      <c r="F332" t="s">
        <v>34</v>
      </c>
      <c r="G332">
        <v>1</v>
      </c>
      <c r="H332">
        <v>193.14179999999999</v>
      </c>
      <c r="I332" t="s">
        <v>49</v>
      </c>
      <c r="J332" s="1">
        <v>44734</v>
      </c>
      <c r="K332">
        <v>31.513777904906</v>
      </c>
      <c r="L332" s="1">
        <v>44756</v>
      </c>
      <c r="M332" s="1">
        <v>44762</v>
      </c>
      <c r="N332">
        <v>252.110223239248</v>
      </c>
      <c r="O332">
        <v>6</v>
      </c>
      <c r="P332" t="str">
        <f>IF(Table1[[#This Row],[Delivery Delay]]&gt;0,"Late","On Time")</f>
        <v>Late</v>
      </c>
      <c r="Q332">
        <v>31.513777904906</v>
      </c>
      <c r="R332">
        <v>0.27139548588950535</v>
      </c>
      <c r="S332">
        <v>3.9665190373934902E-3</v>
      </c>
      <c r="T332">
        <v>0.79</v>
      </c>
      <c r="U332">
        <v>0</v>
      </c>
      <c r="V332">
        <v>29.246905288911911</v>
      </c>
    </row>
    <row r="333" spans="1:22" x14ac:dyDescent="0.35">
      <c r="A333" t="s">
        <v>107</v>
      </c>
      <c r="B333" t="s">
        <v>14</v>
      </c>
      <c r="C333" t="s">
        <v>7</v>
      </c>
      <c r="D333">
        <v>0.87</v>
      </c>
      <c r="E333" t="s">
        <v>36</v>
      </c>
      <c r="F333" t="s">
        <v>39</v>
      </c>
      <c r="G333">
        <v>0</v>
      </c>
      <c r="H333">
        <v>324.59100000000001</v>
      </c>
      <c r="I333" t="s">
        <v>49</v>
      </c>
      <c r="J333" s="1">
        <v>45147</v>
      </c>
      <c r="K333">
        <v>79.868512681948005</v>
      </c>
      <c r="L333" s="1">
        <v>45169</v>
      </c>
      <c r="M333" s="1">
        <v>45168</v>
      </c>
      <c r="N333">
        <v>798.68512681948005</v>
      </c>
      <c r="O333">
        <v>-1</v>
      </c>
      <c r="P333" t="str">
        <f>IF(Table1[[#This Row],[Delivery Delay]]&gt;0,"Late","On Time")</f>
        <v>On Time</v>
      </c>
      <c r="Q333">
        <v>79.868512681948005</v>
      </c>
      <c r="R333">
        <v>0.87812499154585122</v>
      </c>
      <c r="S333">
        <v>1.2520578716448559E-3</v>
      </c>
      <c r="T333">
        <v>0.87</v>
      </c>
      <c r="U333">
        <v>1</v>
      </c>
      <c r="V333">
        <v>63.700061567066378</v>
      </c>
    </row>
    <row r="334" spans="1:22" x14ac:dyDescent="0.35">
      <c r="A334" t="s">
        <v>100</v>
      </c>
      <c r="B334" t="s">
        <v>4</v>
      </c>
      <c r="C334" t="s">
        <v>7</v>
      </c>
      <c r="D334">
        <v>0.77</v>
      </c>
      <c r="E334" t="s">
        <v>37</v>
      </c>
      <c r="F334" t="s">
        <v>34</v>
      </c>
      <c r="G334">
        <v>1</v>
      </c>
      <c r="H334">
        <v>150.731999999999</v>
      </c>
      <c r="I334" t="s">
        <v>51</v>
      </c>
      <c r="J334" s="1">
        <v>45265</v>
      </c>
      <c r="K334">
        <v>31.0039281436955</v>
      </c>
      <c r="L334" s="1">
        <v>45275</v>
      </c>
      <c r="M334" s="1">
        <v>45272</v>
      </c>
      <c r="N334">
        <v>403.05106586804101</v>
      </c>
      <c r="O334">
        <v>-3</v>
      </c>
      <c r="P334" t="str">
        <f>IF(Table1[[#This Row],[Delivery Delay]]&gt;0,"Late","On Time")</f>
        <v>On Time</v>
      </c>
      <c r="Q334">
        <v>31.003928143695461</v>
      </c>
      <c r="R334">
        <v>0.16564465719824237</v>
      </c>
      <c r="S334">
        <v>2.481075190426119E-3</v>
      </c>
      <c r="T334">
        <v>0.77</v>
      </c>
      <c r="U334">
        <v>0</v>
      </c>
      <c r="V334">
        <v>26.48732539967763</v>
      </c>
    </row>
    <row r="335" spans="1:22" x14ac:dyDescent="0.35">
      <c r="A335" t="s">
        <v>101</v>
      </c>
      <c r="B335" t="s">
        <v>15</v>
      </c>
      <c r="C335" t="s">
        <v>9</v>
      </c>
      <c r="D335">
        <v>0.7</v>
      </c>
      <c r="E335" t="s">
        <v>38</v>
      </c>
      <c r="F335" t="s">
        <v>39</v>
      </c>
      <c r="G335">
        <v>0</v>
      </c>
      <c r="H335">
        <v>386.28359999999998</v>
      </c>
      <c r="I335" t="s">
        <v>49</v>
      </c>
      <c r="J335" s="1">
        <v>44730</v>
      </c>
      <c r="K335">
        <v>67.821317495207296</v>
      </c>
      <c r="L335" s="1">
        <v>44754</v>
      </c>
      <c r="M335" s="1">
        <v>44757</v>
      </c>
      <c r="N335">
        <v>678.21317495207302</v>
      </c>
      <c r="O335">
        <v>3</v>
      </c>
      <c r="P335" t="str">
        <f>IF(Table1[[#This Row],[Delivery Delay]]&gt;0,"Late","On Time")</f>
        <v>Late</v>
      </c>
      <c r="Q335">
        <v>67.821317495207296</v>
      </c>
      <c r="R335">
        <v>0.27139548588950535</v>
      </c>
      <c r="S335">
        <v>1.4744626570704212E-3</v>
      </c>
      <c r="T335">
        <v>0.7</v>
      </c>
      <c r="U335">
        <v>1</v>
      </c>
      <c r="V335">
        <v>46.472143597502217</v>
      </c>
    </row>
    <row r="336" spans="1:22" x14ac:dyDescent="0.35">
      <c r="A336" t="s">
        <v>102</v>
      </c>
      <c r="B336" t="s">
        <v>12</v>
      </c>
      <c r="C336" t="s">
        <v>9</v>
      </c>
      <c r="D336">
        <v>0.92</v>
      </c>
      <c r="E336" t="s">
        <v>37</v>
      </c>
      <c r="F336" t="s">
        <v>34</v>
      </c>
      <c r="G336">
        <v>1</v>
      </c>
      <c r="H336">
        <v>-1.75000000000002</v>
      </c>
      <c r="I336" t="s">
        <v>45</v>
      </c>
      <c r="J336" s="1">
        <v>44876</v>
      </c>
      <c r="K336">
        <v>53.756098712978797</v>
      </c>
      <c r="L336" s="1">
        <v>44897</v>
      </c>
      <c r="M336" s="1">
        <v>44900</v>
      </c>
      <c r="N336">
        <v>430.04878970382998</v>
      </c>
      <c r="O336">
        <v>3</v>
      </c>
      <c r="P336" t="str">
        <f>IF(Table1[[#This Row],[Delivery Delay]]&gt;0,"Late","On Time")</f>
        <v>Late</v>
      </c>
      <c r="Q336">
        <v>53.756098712978748</v>
      </c>
      <c r="R336">
        <v>0</v>
      </c>
      <c r="S336">
        <v>2.3253175545237307E-3</v>
      </c>
      <c r="T336">
        <v>0.92</v>
      </c>
      <c r="U336">
        <v>0</v>
      </c>
      <c r="V336">
        <v>27.669759526635712</v>
      </c>
    </row>
    <row r="337" spans="1:22" x14ac:dyDescent="0.35">
      <c r="A337" t="s">
        <v>99</v>
      </c>
      <c r="B337" t="s">
        <v>10</v>
      </c>
      <c r="C337" t="s">
        <v>5</v>
      </c>
      <c r="D337">
        <v>0.91</v>
      </c>
      <c r="E337" t="s">
        <v>35</v>
      </c>
      <c r="F337" t="s">
        <v>34</v>
      </c>
      <c r="G337">
        <v>1</v>
      </c>
      <c r="H337">
        <v>412.58249999999998</v>
      </c>
      <c r="I337" t="s">
        <v>46</v>
      </c>
      <c r="J337" s="1">
        <v>44841</v>
      </c>
      <c r="K337">
        <v>53.453299018083797</v>
      </c>
      <c r="L337" s="1">
        <v>44855</v>
      </c>
      <c r="M337" s="1">
        <v>44859</v>
      </c>
      <c r="N337">
        <v>855.25278428934098</v>
      </c>
      <c r="O337">
        <v>4</v>
      </c>
      <c r="P337" t="str">
        <f>IF(Table1[[#This Row],[Delivery Delay]]&gt;0,"Late","On Time")</f>
        <v>Late</v>
      </c>
      <c r="Q337">
        <v>53.453299018083811</v>
      </c>
      <c r="R337">
        <v>0.71755662128847397</v>
      </c>
      <c r="S337">
        <v>1.1692449511648587E-3</v>
      </c>
      <c r="T337">
        <v>0.91</v>
      </c>
      <c r="U337">
        <v>0</v>
      </c>
      <c r="V337">
        <v>41.68620977430443</v>
      </c>
    </row>
    <row r="338" spans="1:22" x14ac:dyDescent="0.35">
      <c r="A338" t="s">
        <v>103</v>
      </c>
      <c r="B338" t="s">
        <v>12</v>
      </c>
      <c r="C338" t="s">
        <v>11</v>
      </c>
      <c r="D338">
        <v>0.87</v>
      </c>
      <c r="E338" t="s">
        <v>36</v>
      </c>
      <c r="F338" t="s">
        <v>34</v>
      </c>
      <c r="G338">
        <v>1</v>
      </c>
      <c r="H338">
        <v>742.8</v>
      </c>
      <c r="I338" t="s">
        <v>50</v>
      </c>
      <c r="J338" s="1">
        <v>45126</v>
      </c>
      <c r="K338">
        <v>47.668050647985503</v>
      </c>
      <c r="L338" s="1">
        <v>45147</v>
      </c>
      <c r="M338" s="1">
        <v>45148</v>
      </c>
      <c r="N338">
        <v>953.36101295971105</v>
      </c>
      <c r="O338">
        <v>1</v>
      </c>
      <c r="P338" t="str">
        <f>IF(Table1[[#This Row],[Delivery Delay]]&gt;0,"Late","On Time")</f>
        <v>Late</v>
      </c>
      <c r="Q338">
        <v>47.668050647985552</v>
      </c>
      <c r="R338">
        <v>0.71952341744563375</v>
      </c>
      <c r="S338">
        <v>1.0489205939893621E-3</v>
      </c>
      <c r="T338">
        <v>0.87</v>
      </c>
      <c r="U338">
        <v>0</v>
      </c>
      <c r="V338">
        <v>40.521935966732357</v>
      </c>
    </row>
    <row r="339" spans="1:22" x14ac:dyDescent="0.35">
      <c r="A339" t="s">
        <v>104</v>
      </c>
      <c r="B339" t="s">
        <v>14</v>
      </c>
      <c r="C339" t="s">
        <v>7</v>
      </c>
      <c r="D339">
        <v>0.71</v>
      </c>
      <c r="E339" t="s">
        <v>36</v>
      </c>
      <c r="F339" t="s">
        <v>34</v>
      </c>
      <c r="G339">
        <v>1</v>
      </c>
      <c r="H339">
        <v>4.9603999999999999</v>
      </c>
      <c r="I339" t="s">
        <v>46</v>
      </c>
      <c r="J339" s="1">
        <v>44347</v>
      </c>
      <c r="K339">
        <v>71.015488882917893</v>
      </c>
      <c r="L339" s="1">
        <v>44364</v>
      </c>
      <c r="M339" s="1">
        <v>44367</v>
      </c>
      <c r="N339">
        <v>852.185866595015</v>
      </c>
      <c r="O339">
        <v>3</v>
      </c>
      <c r="P339" t="str">
        <f>IF(Table1[[#This Row],[Delivery Delay]]&gt;0,"Late","On Time")</f>
        <v>Late</v>
      </c>
      <c r="Q339">
        <v>71.015488882917921</v>
      </c>
      <c r="R339">
        <v>8.0394940713512386E-2</v>
      </c>
      <c r="S339">
        <v>1.1734529275820892E-3</v>
      </c>
      <c r="T339">
        <v>0.71</v>
      </c>
      <c r="U339">
        <v>0</v>
      </c>
      <c r="V339">
        <v>22.943102402097708</v>
      </c>
    </row>
    <row r="340" spans="1:22" x14ac:dyDescent="0.35">
      <c r="A340" t="s">
        <v>105</v>
      </c>
      <c r="B340" t="s">
        <v>12</v>
      </c>
      <c r="C340" t="s">
        <v>7</v>
      </c>
      <c r="D340">
        <v>0.83</v>
      </c>
      <c r="E340" t="s">
        <v>36</v>
      </c>
      <c r="F340" t="s">
        <v>34</v>
      </c>
      <c r="G340">
        <v>1</v>
      </c>
      <c r="H340">
        <v>121.983999999999</v>
      </c>
      <c r="I340" t="s">
        <v>51</v>
      </c>
      <c r="J340" s="1">
        <v>45096</v>
      </c>
      <c r="K340">
        <v>10.066587342421499</v>
      </c>
      <c r="L340" s="1">
        <v>45115</v>
      </c>
      <c r="M340" s="1">
        <v>45119</v>
      </c>
      <c r="N340">
        <v>80.532698739372506</v>
      </c>
      <c r="O340">
        <v>4</v>
      </c>
      <c r="P340" t="str">
        <f>IF(Table1[[#This Row],[Delivery Delay]]&gt;0,"Late","On Time")</f>
        <v>Late</v>
      </c>
      <c r="Q340">
        <v>10.066587342421563</v>
      </c>
      <c r="R340">
        <v>0.53467985132197005</v>
      </c>
      <c r="S340">
        <v>1.2417316390157172E-2</v>
      </c>
      <c r="T340">
        <v>0.83</v>
      </c>
      <c r="U340">
        <v>0</v>
      </c>
      <c r="V340">
        <v>35.966116518144112</v>
      </c>
    </row>
    <row r="341" spans="1:22" x14ac:dyDescent="0.35">
      <c r="A341" t="s">
        <v>106</v>
      </c>
      <c r="B341" t="s">
        <v>12</v>
      </c>
      <c r="C341" t="s">
        <v>11</v>
      </c>
      <c r="D341">
        <v>0.74</v>
      </c>
      <c r="E341" t="s">
        <v>36</v>
      </c>
      <c r="F341" t="s">
        <v>39</v>
      </c>
      <c r="G341">
        <v>0</v>
      </c>
      <c r="H341">
        <v>155.88959999999901</v>
      </c>
      <c r="I341" t="s">
        <v>47</v>
      </c>
      <c r="J341" s="1">
        <v>44215</v>
      </c>
      <c r="K341">
        <v>31.518047838176798</v>
      </c>
      <c r="L341" s="1">
        <v>44234</v>
      </c>
      <c r="M341" s="1">
        <v>44236</v>
      </c>
      <c r="N341">
        <v>441.25266973447498</v>
      </c>
      <c r="O341">
        <v>2</v>
      </c>
      <c r="P341" t="str">
        <f>IF(Table1[[#This Row],[Delivery Delay]]&gt;0,"Late","On Time")</f>
        <v>Late</v>
      </c>
      <c r="Q341">
        <v>31.518047838176784</v>
      </c>
      <c r="R341">
        <v>0.33046389287422073</v>
      </c>
      <c r="S341">
        <v>2.2662752399928883E-3</v>
      </c>
      <c r="T341">
        <v>0.74</v>
      </c>
      <c r="U341">
        <v>1</v>
      </c>
      <c r="V341">
        <v>48.877266114684204</v>
      </c>
    </row>
    <row r="342" spans="1:22" x14ac:dyDescent="0.35">
      <c r="A342" t="s">
        <v>108</v>
      </c>
      <c r="B342" t="s">
        <v>14</v>
      </c>
      <c r="C342" t="s">
        <v>5</v>
      </c>
      <c r="D342">
        <v>0.64</v>
      </c>
      <c r="E342" t="s">
        <v>37</v>
      </c>
      <c r="F342" t="s">
        <v>34</v>
      </c>
      <c r="G342">
        <v>1</v>
      </c>
      <c r="H342">
        <v>10.1291999999999</v>
      </c>
      <c r="I342" t="s">
        <v>50</v>
      </c>
      <c r="J342" s="1">
        <v>44482</v>
      </c>
      <c r="K342">
        <v>30.1562942247126</v>
      </c>
      <c r="L342" s="1">
        <v>44495</v>
      </c>
      <c r="M342" s="1">
        <v>44494</v>
      </c>
      <c r="N342">
        <v>331.719236471839</v>
      </c>
      <c r="O342">
        <v>-1</v>
      </c>
      <c r="P342" t="str">
        <f>IF(Table1[[#This Row],[Delivery Delay]]&gt;0,"Late","On Time")</f>
        <v>On Time</v>
      </c>
      <c r="Q342">
        <v>30.156294224712635</v>
      </c>
      <c r="R342">
        <v>6.5591222385403561E-2</v>
      </c>
      <c r="S342">
        <v>3.0145975573680488E-3</v>
      </c>
      <c r="T342">
        <v>0.64</v>
      </c>
      <c r="U342">
        <v>0</v>
      </c>
      <c r="V342">
        <v>20.602262374429113</v>
      </c>
    </row>
    <row r="343" spans="1:22" x14ac:dyDescent="0.35">
      <c r="A343" t="s">
        <v>101</v>
      </c>
      <c r="B343" t="s">
        <v>8</v>
      </c>
      <c r="C343" t="s">
        <v>5</v>
      </c>
      <c r="D343">
        <v>0.96</v>
      </c>
      <c r="E343" t="s">
        <v>38</v>
      </c>
      <c r="F343" t="s">
        <v>34</v>
      </c>
      <c r="G343">
        <v>1</v>
      </c>
      <c r="H343">
        <v>561.33550000000002</v>
      </c>
      <c r="I343" t="s">
        <v>51</v>
      </c>
      <c r="J343" s="1">
        <v>44693</v>
      </c>
      <c r="K343">
        <v>5.2601333348385797</v>
      </c>
      <c r="L343" s="1">
        <v>44704</v>
      </c>
      <c r="M343" s="1">
        <v>44708</v>
      </c>
      <c r="N343">
        <v>68.381733352901605</v>
      </c>
      <c r="O343">
        <v>4</v>
      </c>
      <c r="P343" t="str">
        <f>IF(Table1[[#This Row],[Delivery Delay]]&gt;0,"Late","On Time")</f>
        <v>Late</v>
      </c>
      <c r="Q343">
        <v>5.260133334838585</v>
      </c>
      <c r="R343">
        <v>0.90554707280618763</v>
      </c>
      <c r="S343">
        <v>1.4623788414944699E-2</v>
      </c>
      <c r="T343">
        <v>0.96</v>
      </c>
      <c r="U343">
        <v>0</v>
      </c>
      <c r="V343">
        <v>47.349655108572094</v>
      </c>
    </row>
    <row r="344" spans="1:22" x14ac:dyDescent="0.35">
      <c r="A344" t="s">
        <v>102</v>
      </c>
      <c r="B344" t="s">
        <v>8</v>
      </c>
      <c r="C344" t="s">
        <v>9</v>
      </c>
      <c r="D344">
        <v>0.65</v>
      </c>
      <c r="E344" t="s">
        <v>38</v>
      </c>
      <c r="F344" t="s">
        <v>34</v>
      </c>
      <c r="G344">
        <v>1</v>
      </c>
      <c r="H344">
        <v>74.355199999999996</v>
      </c>
      <c r="I344" t="s">
        <v>47</v>
      </c>
      <c r="J344" s="1">
        <v>45094</v>
      </c>
      <c r="K344">
        <v>24.218698954452599</v>
      </c>
      <c r="L344" s="1">
        <v>45104</v>
      </c>
      <c r="M344" s="1">
        <v>45109</v>
      </c>
      <c r="N344">
        <v>411.71788222569398</v>
      </c>
      <c r="O344">
        <v>5</v>
      </c>
      <c r="P344" t="str">
        <f>IF(Table1[[#This Row],[Delivery Delay]]&gt;0,"Late","On Time")</f>
        <v>Late</v>
      </c>
      <c r="Q344">
        <v>24.218698954452588</v>
      </c>
      <c r="R344">
        <v>0.18691829363451343</v>
      </c>
      <c r="S344">
        <v>2.4288476239946841E-3</v>
      </c>
      <c r="T344">
        <v>0.65</v>
      </c>
      <c r="U344">
        <v>0</v>
      </c>
      <c r="V344">
        <v>23.31123130141011</v>
      </c>
    </row>
    <row r="345" spans="1:22" x14ac:dyDescent="0.35">
      <c r="A345" t="s">
        <v>99</v>
      </c>
      <c r="B345" t="s">
        <v>14</v>
      </c>
      <c r="C345" t="s">
        <v>9</v>
      </c>
      <c r="D345">
        <v>0.97</v>
      </c>
      <c r="E345" t="s">
        <v>37</v>
      </c>
      <c r="F345" t="s">
        <v>39</v>
      </c>
      <c r="G345">
        <v>0</v>
      </c>
      <c r="H345">
        <v>204.5616</v>
      </c>
      <c r="I345" t="s">
        <v>46</v>
      </c>
      <c r="J345" s="1">
        <v>45285</v>
      </c>
      <c r="K345">
        <v>67.702057418375503</v>
      </c>
      <c r="L345" s="1">
        <v>45300</v>
      </c>
      <c r="M345" s="1">
        <v>45298</v>
      </c>
      <c r="N345">
        <v>677.020574183755</v>
      </c>
      <c r="O345">
        <v>-2</v>
      </c>
      <c r="P345" t="str">
        <f>IF(Table1[[#This Row],[Delivery Delay]]&gt;0,"Late","On Time")</f>
        <v>On Time</v>
      </c>
      <c r="Q345">
        <v>67.702057418375503</v>
      </c>
      <c r="R345">
        <v>0.77274238294117281</v>
      </c>
      <c r="S345">
        <v>1.477059986257645E-3</v>
      </c>
      <c r="T345">
        <v>0.97</v>
      </c>
      <c r="U345">
        <v>1</v>
      </c>
      <c r="V345">
        <v>64.599159458411194</v>
      </c>
    </row>
    <row r="346" spans="1:22" x14ac:dyDescent="0.35">
      <c r="A346" t="s">
        <v>103</v>
      </c>
      <c r="B346" t="s">
        <v>10</v>
      </c>
      <c r="C346" t="s">
        <v>9</v>
      </c>
      <c r="D346">
        <v>0.77</v>
      </c>
      <c r="E346" t="s">
        <v>36</v>
      </c>
      <c r="F346" t="s">
        <v>34</v>
      </c>
      <c r="G346">
        <v>1</v>
      </c>
      <c r="H346">
        <v>768.59649999999999</v>
      </c>
      <c r="I346" t="s">
        <v>51</v>
      </c>
      <c r="J346" s="1">
        <v>44374</v>
      </c>
      <c r="K346">
        <v>10.108317614951901</v>
      </c>
      <c r="L346" s="1">
        <v>44385</v>
      </c>
      <c r="M346" s="1">
        <v>44383</v>
      </c>
      <c r="N346">
        <v>101.08317614951901</v>
      </c>
      <c r="O346">
        <v>-2</v>
      </c>
      <c r="P346" t="str">
        <f>IF(Table1[[#This Row],[Delivery Delay]]&gt;0,"Late","On Time")</f>
        <v>On Time</v>
      </c>
      <c r="Q346">
        <v>10.108317614951901</v>
      </c>
      <c r="R346">
        <v>0.67794417740237523</v>
      </c>
      <c r="S346">
        <v>9.8928430832132923E-3</v>
      </c>
      <c r="T346">
        <v>0.77</v>
      </c>
      <c r="U346">
        <v>0</v>
      </c>
      <c r="V346">
        <v>36.9556688405439</v>
      </c>
    </row>
    <row r="347" spans="1:22" x14ac:dyDescent="0.35">
      <c r="A347" t="s">
        <v>104</v>
      </c>
      <c r="B347" t="s">
        <v>15</v>
      </c>
      <c r="C347" t="s">
        <v>7</v>
      </c>
      <c r="D347">
        <v>0.67</v>
      </c>
      <c r="E347" t="s">
        <v>35</v>
      </c>
      <c r="F347" t="s">
        <v>34</v>
      </c>
      <c r="G347">
        <v>1</v>
      </c>
      <c r="H347">
        <v>656.952</v>
      </c>
      <c r="I347" t="s">
        <v>50</v>
      </c>
      <c r="J347" s="1">
        <v>44646</v>
      </c>
      <c r="K347">
        <v>79.739358192736105</v>
      </c>
      <c r="L347" s="1">
        <v>44659</v>
      </c>
      <c r="M347" s="1">
        <v>44664</v>
      </c>
      <c r="N347">
        <v>717.65422373462502</v>
      </c>
      <c r="O347">
        <v>5</v>
      </c>
      <c r="P347" t="str">
        <f>IF(Table1[[#This Row],[Delivery Delay]]&gt;0,"Late","On Time")</f>
        <v>Late</v>
      </c>
      <c r="Q347">
        <v>79.73935819273612</v>
      </c>
      <c r="R347">
        <v>0.44932329839709129</v>
      </c>
      <c r="S347">
        <v>1.3934287111083473E-3</v>
      </c>
      <c r="T347">
        <v>0.67</v>
      </c>
      <c r="U347">
        <v>0</v>
      </c>
      <c r="V347">
        <v>29.128268829275079</v>
      </c>
    </row>
    <row r="348" spans="1:22" x14ac:dyDescent="0.35">
      <c r="A348" t="s">
        <v>105</v>
      </c>
      <c r="B348" t="s">
        <v>13</v>
      </c>
      <c r="C348" t="s">
        <v>9</v>
      </c>
      <c r="D348">
        <v>0.81</v>
      </c>
      <c r="E348" t="s">
        <v>37</v>
      </c>
      <c r="F348" t="s">
        <v>34</v>
      </c>
      <c r="G348">
        <v>1</v>
      </c>
      <c r="H348">
        <v>171.943199999999</v>
      </c>
      <c r="I348" t="s">
        <v>50</v>
      </c>
      <c r="J348" s="1">
        <v>44921</v>
      </c>
      <c r="K348">
        <v>48.221386657929102</v>
      </c>
      <c r="L348" s="1">
        <v>44941</v>
      </c>
      <c r="M348" s="1">
        <v>44943</v>
      </c>
      <c r="N348">
        <v>433.992479921361</v>
      </c>
      <c r="O348">
        <v>2</v>
      </c>
      <c r="P348" t="str">
        <f>IF(Table1[[#This Row],[Delivery Delay]]&gt;0,"Late","On Time")</f>
        <v>Late</v>
      </c>
      <c r="Q348">
        <v>48.221386657929003</v>
      </c>
      <c r="R348">
        <v>0.24157360200695857</v>
      </c>
      <c r="S348">
        <v>2.3041873909455737E-3</v>
      </c>
      <c r="T348">
        <v>0.81</v>
      </c>
      <c r="U348">
        <v>0</v>
      </c>
      <c r="V348">
        <v>29.20059766186754</v>
      </c>
    </row>
    <row r="349" spans="1:22" x14ac:dyDescent="0.35">
      <c r="A349" t="s">
        <v>106</v>
      </c>
      <c r="B349" t="s">
        <v>12</v>
      </c>
      <c r="C349" t="s">
        <v>5</v>
      </c>
      <c r="D349">
        <v>0.94</v>
      </c>
      <c r="E349" t="s">
        <v>35</v>
      </c>
      <c r="F349" t="s">
        <v>34</v>
      </c>
      <c r="G349">
        <v>1</v>
      </c>
      <c r="H349">
        <v>115.75839999999999</v>
      </c>
      <c r="I349" t="s">
        <v>48</v>
      </c>
      <c r="J349" s="1">
        <v>45097</v>
      </c>
      <c r="K349">
        <v>58.807176319403197</v>
      </c>
      <c r="L349" s="1">
        <v>45113</v>
      </c>
      <c r="M349" s="1">
        <v>45110</v>
      </c>
      <c r="N349">
        <v>588.07176319403197</v>
      </c>
      <c r="O349">
        <v>-3</v>
      </c>
      <c r="P349" t="str">
        <f>IF(Table1[[#This Row],[Delivery Delay]]&gt;0,"Late","On Time")</f>
        <v>On Time</v>
      </c>
      <c r="Q349">
        <v>58.807176319403197</v>
      </c>
      <c r="R349">
        <v>0.14703616916201434</v>
      </c>
      <c r="S349">
        <v>1.7004727357910125E-3</v>
      </c>
      <c r="T349">
        <v>0.94</v>
      </c>
      <c r="U349">
        <v>0</v>
      </c>
      <c r="V349">
        <v>31.191737565314014</v>
      </c>
    </row>
    <row r="350" spans="1:22" x14ac:dyDescent="0.35">
      <c r="A350" t="s">
        <v>108</v>
      </c>
      <c r="B350" t="s">
        <v>10</v>
      </c>
      <c r="C350" t="s">
        <v>11</v>
      </c>
      <c r="D350">
        <v>0.89</v>
      </c>
      <c r="E350" t="s">
        <v>36</v>
      </c>
      <c r="F350" t="s">
        <v>34</v>
      </c>
      <c r="G350">
        <v>1</v>
      </c>
      <c r="H350">
        <v>582.61849999999902</v>
      </c>
      <c r="I350" t="s">
        <v>45</v>
      </c>
      <c r="J350" s="1">
        <v>45150</v>
      </c>
      <c r="K350">
        <v>72.791096284076602</v>
      </c>
      <c r="L350" s="1">
        <v>45172</v>
      </c>
      <c r="M350" s="1">
        <v>45170</v>
      </c>
      <c r="N350">
        <v>1601.4041182496801</v>
      </c>
      <c r="O350">
        <v>-2</v>
      </c>
      <c r="P350" t="str">
        <f>IF(Table1[[#This Row],[Delivery Delay]]&gt;0,"Late","On Time")</f>
        <v>On Time</v>
      </c>
      <c r="Q350">
        <v>72.791096284076374</v>
      </c>
      <c r="R350">
        <v>0.51076934271438557</v>
      </c>
      <c r="S350">
        <v>6.244519972216574E-4</v>
      </c>
      <c r="T350">
        <v>0.89</v>
      </c>
      <c r="U350">
        <v>0</v>
      </c>
      <c r="V350">
        <v>36.934120414204365</v>
      </c>
    </row>
    <row r="351" spans="1:22" x14ac:dyDescent="0.35">
      <c r="A351" t="s">
        <v>107</v>
      </c>
      <c r="B351" t="s">
        <v>12</v>
      </c>
      <c r="C351" t="s">
        <v>5</v>
      </c>
      <c r="D351">
        <v>0.91</v>
      </c>
      <c r="E351" t="s">
        <v>38</v>
      </c>
      <c r="F351" t="s">
        <v>34</v>
      </c>
      <c r="G351">
        <v>1</v>
      </c>
      <c r="H351">
        <v>146.44739999999899</v>
      </c>
      <c r="I351" t="s">
        <v>49</v>
      </c>
      <c r="J351" s="1">
        <v>45324</v>
      </c>
      <c r="K351">
        <v>26.651269024724701</v>
      </c>
      <c r="L351" s="1">
        <v>45337</v>
      </c>
      <c r="M351" s="1">
        <v>45342</v>
      </c>
      <c r="N351">
        <v>346.466497321421</v>
      </c>
      <c r="O351">
        <v>5</v>
      </c>
      <c r="P351" t="str">
        <f>IF(Table1[[#This Row],[Delivery Delay]]&gt;0,"Late","On Time")</f>
        <v>Late</v>
      </c>
      <c r="Q351">
        <v>26.651269024724691</v>
      </c>
      <c r="R351">
        <v>0.26070437895002008</v>
      </c>
      <c r="S351">
        <v>2.8862819572199167E-3</v>
      </c>
      <c r="T351">
        <v>0.91</v>
      </c>
      <c r="U351">
        <v>0</v>
      </c>
      <c r="V351">
        <v>32.600676037717001</v>
      </c>
    </row>
    <row r="352" spans="1:22" x14ac:dyDescent="0.35">
      <c r="A352" t="s">
        <v>100</v>
      </c>
      <c r="B352" t="s">
        <v>13</v>
      </c>
      <c r="C352" t="s">
        <v>7</v>
      </c>
      <c r="D352">
        <v>0.86</v>
      </c>
      <c r="E352" t="s">
        <v>36</v>
      </c>
      <c r="F352" t="s">
        <v>34</v>
      </c>
      <c r="G352">
        <v>1</v>
      </c>
      <c r="H352">
        <v>308.710499999999</v>
      </c>
      <c r="I352" t="s">
        <v>47</v>
      </c>
      <c r="J352" s="1">
        <v>44218</v>
      </c>
      <c r="K352">
        <v>43.156867770378597</v>
      </c>
      <c r="L352" s="1">
        <v>44236</v>
      </c>
      <c r="M352" s="1">
        <v>44237</v>
      </c>
      <c r="N352">
        <v>474.72554547416502</v>
      </c>
      <c r="O352">
        <v>1</v>
      </c>
      <c r="P352" t="str">
        <f>IF(Table1[[#This Row],[Delivery Delay]]&gt;0,"Late","On Time")</f>
        <v>Late</v>
      </c>
      <c r="Q352">
        <v>43.156867770378639</v>
      </c>
      <c r="R352">
        <v>0.39808931365778949</v>
      </c>
      <c r="S352">
        <v>2.1064802800978E-3</v>
      </c>
      <c r="T352">
        <v>0.86</v>
      </c>
      <c r="U352">
        <v>0</v>
      </c>
      <c r="V352">
        <v>33.824980681558728</v>
      </c>
    </row>
    <row r="353" spans="1:22" x14ac:dyDescent="0.35">
      <c r="A353" t="s">
        <v>101</v>
      </c>
      <c r="B353" t="s">
        <v>15</v>
      </c>
      <c r="C353" t="s">
        <v>5</v>
      </c>
      <c r="D353">
        <v>0.87</v>
      </c>
      <c r="E353" t="s">
        <v>38</v>
      </c>
      <c r="F353" t="s">
        <v>34</v>
      </c>
      <c r="G353">
        <v>1</v>
      </c>
      <c r="H353">
        <v>137.444999999999</v>
      </c>
      <c r="I353" t="s">
        <v>48</v>
      </c>
      <c r="J353" s="1">
        <v>44520</v>
      </c>
      <c r="K353">
        <v>55.369876864231699</v>
      </c>
      <c r="L353" s="1">
        <v>44542</v>
      </c>
      <c r="M353" s="1">
        <v>44547</v>
      </c>
      <c r="N353">
        <v>387.589138049621</v>
      </c>
      <c r="O353">
        <v>5</v>
      </c>
      <c r="P353" t="str">
        <f>IF(Table1[[#This Row],[Delivery Delay]]&gt;0,"Late","On Time")</f>
        <v>Late</v>
      </c>
      <c r="Q353">
        <v>55.369876864231571</v>
      </c>
      <c r="R353">
        <v>0.12222711326316932</v>
      </c>
      <c r="S353">
        <v>2.5800516625209846E-3</v>
      </c>
      <c r="T353">
        <v>0.87</v>
      </c>
      <c r="U353">
        <v>0</v>
      </c>
      <c r="V353">
        <v>28.621943815139016</v>
      </c>
    </row>
    <row r="354" spans="1:22" x14ac:dyDescent="0.35">
      <c r="A354" t="s">
        <v>102</v>
      </c>
      <c r="B354" t="s">
        <v>8</v>
      </c>
      <c r="C354" t="s">
        <v>9</v>
      </c>
      <c r="D354">
        <v>0.93</v>
      </c>
      <c r="E354" t="s">
        <v>36</v>
      </c>
      <c r="F354" t="s">
        <v>34</v>
      </c>
      <c r="G354">
        <v>1</v>
      </c>
      <c r="H354">
        <v>135.77679999999901</v>
      </c>
      <c r="I354" t="s">
        <v>49</v>
      </c>
      <c r="J354" s="1">
        <v>44449</v>
      </c>
      <c r="K354">
        <v>64.691781205039504</v>
      </c>
      <c r="L354" s="1">
        <v>44469</v>
      </c>
      <c r="M354" s="1">
        <v>44466</v>
      </c>
      <c r="N354">
        <v>323.458906025197</v>
      </c>
      <c r="O354">
        <v>-3</v>
      </c>
      <c r="P354" t="str">
        <f>IF(Table1[[#This Row],[Delivery Delay]]&gt;0,"Late","On Time")</f>
        <v>On Time</v>
      </c>
      <c r="Q354">
        <v>64.691781205039405</v>
      </c>
      <c r="R354">
        <v>0.18107030569036517</v>
      </c>
      <c r="S354">
        <v>3.0915828297586011E-3</v>
      </c>
      <c r="T354">
        <v>0.93</v>
      </c>
      <c r="U354">
        <v>0</v>
      </c>
      <c r="V354">
        <v>31.614153598700064</v>
      </c>
    </row>
    <row r="355" spans="1:22" x14ac:dyDescent="0.35">
      <c r="A355" t="s">
        <v>99</v>
      </c>
      <c r="B355" t="s">
        <v>10</v>
      </c>
      <c r="C355" t="s">
        <v>7</v>
      </c>
      <c r="D355">
        <v>0.7</v>
      </c>
      <c r="E355" t="s">
        <v>38</v>
      </c>
      <c r="F355" t="s">
        <v>34</v>
      </c>
      <c r="G355">
        <v>1</v>
      </c>
      <c r="H355">
        <v>293.45759999999899</v>
      </c>
      <c r="I355" t="s">
        <v>49</v>
      </c>
      <c r="J355" s="1">
        <v>45196</v>
      </c>
      <c r="K355">
        <v>55.6176359646497</v>
      </c>
      <c r="L355" s="1">
        <v>45217</v>
      </c>
      <c r="M355" s="1">
        <v>45217</v>
      </c>
      <c r="N355">
        <v>723.02926754044699</v>
      </c>
      <c r="O355">
        <v>0</v>
      </c>
      <c r="P355" t="str">
        <f>IF(Table1[[#This Row],[Delivery Delay]]&gt;0,"Late","On Time")</f>
        <v>On Time</v>
      </c>
      <c r="Q355">
        <v>55.617635964649772</v>
      </c>
      <c r="R355">
        <v>0.76481479164842248</v>
      </c>
      <c r="S355">
        <v>1.3830698768277163E-3</v>
      </c>
      <c r="T355">
        <v>0.7</v>
      </c>
      <c r="U355">
        <v>0</v>
      </c>
      <c r="V355">
        <v>36.337787929273283</v>
      </c>
    </row>
    <row r="356" spans="1:22" x14ac:dyDescent="0.35">
      <c r="A356" t="s">
        <v>103</v>
      </c>
      <c r="B356" t="s">
        <v>6</v>
      </c>
      <c r="C356" t="s">
        <v>11</v>
      </c>
      <c r="D356">
        <v>0.79</v>
      </c>
      <c r="E356" t="s">
        <v>36</v>
      </c>
      <c r="F356" t="s">
        <v>39</v>
      </c>
      <c r="G356">
        <v>0</v>
      </c>
      <c r="H356">
        <v>272.591599999999</v>
      </c>
      <c r="I356" t="s">
        <v>51</v>
      </c>
      <c r="J356" s="1">
        <v>44904</v>
      </c>
      <c r="K356">
        <v>77.427361550386195</v>
      </c>
      <c r="L356" s="1">
        <v>44920</v>
      </c>
      <c r="M356" s="1">
        <v>44921</v>
      </c>
      <c r="N356">
        <v>464.564169302317</v>
      </c>
      <c r="O356">
        <v>1</v>
      </c>
      <c r="P356" t="str">
        <f>IF(Table1[[#This Row],[Delivery Delay]]&gt;0,"Late","On Time")</f>
        <v>Late</v>
      </c>
      <c r="Q356">
        <v>77.427361550386166</v>
      </c>
      <c r="R356">
        <v>0.46616648847134312</v>
      </c>
      <c r="S356">
        <v>2.1525551604675004E-3</v>
      </c>
      <c r="T356">
        <v>0.79</v>
      </c>
      <c r="U356">
        <v>1</v>
      </c>
      <c r="V356">
        <v>53.087906424240884</v>
      </c>
    </row>
    <row r="357" spans="1:22" x14ac:dyDescent="0.35">
      <c r="A357" t="s">
        <v>104</v>
      </c>
      <c r="B357" t="s">
        <v>6</v>
      </c>
      <c r="C357" t="s">
        <v>9</v>
      </c>
      <c r="D357">
        <v>0.69</v>
      </c>
      <c r="E357" t="s">
        <v>38</v>
      </c>
      <c r="F357" t="s">
        <v>34</v>
      </c>
      <c r="G357">
        <v>1</v>
      </c>
      <c r="H357">
        <v>63.8688</v>
      </c>
      <c r="I357" t="s">
        <v>49</v>
      </c>
      <c r="J357" s="1">
        <v>44612</v>
      </c>
      <c r="K357">
        <v>22.447384790188799</v>
      </c>
      <c r="L357" s="1">
        <v>44635</v>
      </c>
      <c r="M357" s="1">
        <v>44637</v>
      </c>
      <c r="N357">
        <v>157.13169353132099</v>
      </c>
      <c r="O357">
        <v>2</v>
      </c>
      <c r="P357" t="str">
        <f>IF(Table1[[#This Row],[Delivery Delay]]&gt;0,"Late","On Time")</f>
        <v>Late</v>
      </c>
      <c r="Q357">
        <v>22.447384790188714</v>
      </c>
      <c r="R357">
        <v>0.17846987499329361</v>
      </c>
      <c r="S357">
        <v>6.3640884758915323E-3</v>
      </c>
      <c r="T357">
        <v>0.69</v>
      </c>
      <c r="U357">
        <v>0</v>
      </c>
      <c r="V357">
        <v>24.460320154142618</v>
      </c>
    </row>
    <row r="358" spans="1:22" x14ac:dyDescent="0.35">
      <c r="A358" t="s">
        <v>105</v>
      </c>
      <c r="B358" t="s">
        <v>13</v>
      </c>
      <c r="C358" t="s">
        <v>7</v>
      </c>
      <c r="D358">
        <v>0.99</v>
      </c>
      <c r="E358" t="s">
        <v>35</v>
      </c>
      <c r="F358" t="s">
        <v>34</v>
      </c>
      <c r="G358">
        <v>1</v>
      </c>
      <c r="H358">
        <v>22.978000000000101</v>
      </c>
      <c r="I358" t="s">
        <v>45</v>
      </c>
      <c r="J358" s="1">
        <v>44845</v>
      </c>
      <c r="K358">
        <v>77.814999632381202</v>
      </c>
      <c r="L358" s="1">
        <v>44865</v>
      </c>
      <c r="M358" s="1">
        <v>44865</v>
      </c>
      <c r="N358">
        <v>778.14999632381205</v>
      </c>
      <c r="O358">
        <v>0</v>
      </c>
      <c r="P358" t="str">
        <f>IF(Table1[[#This Row],[Delivery Delay]]&gt;0,"Late","On Time")</f>
        <v>On Time</v>
      </c>
      <c r="Q358">
        <v>77.814999632381202</v>
      </c>
      <c r="R358">
        <v>6.3286676692060936E-2</v>
      </c>
      <c r="S358">
        <v>1.2850992799900616E-3</v>
      </c>
      <c r="T358">
        <v>0.99</v>
      </c>
      <c r="U358">
        <v>0</v>
      </c>
      <c r="V358">
        <v>31.00428651224092</v>
      </c>
    </row>
    <row r="359" spans="1:22" x14ac:dyDescent="0.35">
      <c r="A359" t="s">
        <v>106</v>
      </c>
      <c r="B359" t="s">
        <v>6</v>
      </c>
      <c r="C359" t="s">
        <v>11</v>
      </c>
      <c r="D359">
        <v>0.97</v>
      </c>
      <c r="E359" t="s">
        <v>38</v>
      </c>
      <c r="F359" t="s">
        <v>34</v>
      </c>
      <c r="G359">
        <v>1</v>
      </c>
      <c r="H359">
        <v>225.45320000000001</v>
      </c>
      <c r="I359" t="s">
        <v>50</v>
      </c>
      <c r="J359" s="1">
        <v>45320</v>
      </c>
      <c r="K359">
        <v>49.6130584767023</v>
      </c>
      <c r="L359" s="1">
        <v>45333</v>
      </c>
      <c r="M359" s="1">
        <v>45333</v>
      </c>
      <c r="N359">
        <v>545.74364324372505</v>
      </c>
      <c r="O359">
        <v>0</v>
      </c>
      <c r="P359" t="str">
        <f>IF(Table1[[#This Row],[Delivery Delay]]&gt;0,"Late","On Time")</f>
        <v>On Time</v>
      </c>
      <c r="Q359">
        <v>49.613058476702278</v>
      </c>
      <c r="R359">
        <v>0.74256718746088779</v>
      </c>
      <c r="S359">
        <v>1.832362158276954E-3</v>
      </c>
      <c r="T359">
        <v>0.97</v>
      </c>
      <c r="U359">
        <v>0</v>
      </c>
      <c r="V359">
        <v>44.006314613966069</v>
      </c>
    </row>
    <row r="360" spans="1:22" x14ac:dyDescent="0.35">
      <c r="A360" t="s">
        <v>108</v>
      </c>
      <c r="B360" t="s">
        <v>8</v>
      </c>
      <c r="C360" t="s">
        <v>9</v>
      </c>
      <c r="D360">
        <v>0.62</v>
      </c>
      <c r="E360" t="s">
        <v>35</v>
      </c>
      <c r="F360" t="s">
        <v>39</v>
      </c>
      <c r="G360">
        <v>0</v>
      </c>
      <c r="H360">
        <v>266.33819999999997</v>
      </c>
      <c r="I360" t="s">
        <v>48</v>
      </c>
      <c r="J360" s="1">
        <v>45139</v>
      </c>
      <c r="K360">
        <v>72.254953044744198</v>
      </c>
      <c r="L360" s="1">
        <v>45149</v>
      </c>
      <c r="M360" s="1">
        <v>45146</v>
      </c>
      <c r="N360">
        <v>939.31438958167496</v>
      </c>
      <c r="O360">
        <v>-3</v>
      </c>
      <c r="P360" t="str">
        <f>IF(Table1[[#This Row],[Delivery Delay]]&gt;0,"Late","On Time")</f>
        <v>On Time</v>
      </c>
      <c r="Q360">
        <v>72.254953044744227</v>
      </c>
      <c r="R360">
        <v>0.863281971695673</v>
      </c>
      <c r="S360">
        <v>1.0646062820834157E-3</v>
      </c>
      <c r="T360">
        <v>0.62</v>
      </c>
      <c r="U360">
        <v>1</v>
      </c>
      <c r="V360">
        <v>55.897577622375969</v>
      </c>
    </row>
    <row r="361" spans="1:22" x14ac:dyDescent="0.35">
      <c r="A361" t="s">
        <v>102</v>
      </c>
      <c r="B361" t="s">
        <v>13</v>
      </c>
      <c r="C361" t="s">
        <v>9</v>
      </c>
      <c r="D361">
        <v>0.88</v>
      </c>
      <c r="E361" t="s">
        <v>37</v>
      </c>
      <c r="F361" t="s">
        <v>34</v>
      </c>
      <c r="G361">
        <v>1</v>
      </c>
      <c r="H361">
        <v>363.37619999999902</v>
      </c>
      <c r="I361" t="s">
        <v>49</v>
      </c>
      <c r="J361" s="1">
        <v>45240</v>
      </c>
      <c r="K361">
        <v>15.403970799743901</v>
      </c>
      <c r="L361" s="1">
        <v>45253</v>
      </c>
      <c r="M361" s="1">
        <v>45259</v>
      </c>
      <c r="N361">
        <v>92.423824798463798</v>
      </c>
      <c r="O361">
        <v>6</v>
      </c>
      <c r="P361" t="str">
        <f>IF(Table1[[#This Row],[Delivery Delay]]&gt;0,"Late","On Time")</f>
        <v>Late</v>
      </c>
      <c r="Q361">
        <v>15.403970799743966</v>
      </c>
      <c r="R361">
        <v>0.48520922913977682</v>
      </c>
      <c r="S361">
        <v>1.0819721020857613E-2</v>
      </c>
      <c r="T361">
        <v>0.88</v>
      </c>
      <c r="U361">
        <v>0</v>
      </c>
      <c r="V361">
        <v>36.428776213421266</v>
      </c>
    </row>
    <row r="362" spans="1:22" x14ac:dyDescent="0.35">
      <c r="A362" t="s">
        <v>99</v>
      </c>
      <c r="B362" t="s">
        <v>8</v>
      </c>
      <c r="C362" t="s">
        <v>7</v>
      </c>
      <c r="D362">
        <v>0.96</v>
      </c>
      <c r="E362" t="s">
        <v>36</v>
      </c>
      <c r="F362" t="s">
        <v>34</v>
      </c>
      <c r="G362">
        <v>1</v>
      </c>
      <c r="H362">
        <v>92.376000000000005</v>
      </c>
      <c r="I362" t="s">
        <v>51</v>
      </c>
      <c r="J362" s="1">
        <v>44748</v>
      </c>
      <c r="K362">
        <v>31.284249493155802</v>
      </c>
      <c r="L362" s="1">
        <v>44764</v>
      </c>
      <c r="M362" s="1">
        <v>44770</v>
      </c>
      <c r="N362">
        <v>469.26374239733701</v>
      </c>
      <c r="O362">
        <v>6</v>
      </c>
      <c r="P362" t="str">
        <f>IF(Table1[[#This Row],[Delivery Delay]]&gt;0,"Late","On Time")</f>
        <v>Late</v>
      </c>
      <c r="Q362">
        <v>31.284249493155802</v>
      </c>
      <c r="R362">
        <v>0.20986150994147798</v>
      </c>
      <c r="S362">
        <v>2.1309977943134496E-3</v>
      </c>
      <c r="T362">
        <v>0.96</v>
      </c>
      <c r="U362">
        <v>0</v>
      </c>
      <c r="V362">
        <v>33.061160132658962</v>
      </c>
    </row>
    <row r="363" spans="1:22" x14ac:dyDescent="0.35">
      <c r="A363" t="s">
        <v>103</v>
      </c>
      <c r="B363" t="s">
        <v>15</v>
      </c>
      <c r="C363" t="s">
        <v>9</v>
      </c>
      <c r="D363">
        <v>0.67</v>
      </c>
      <c r="E363" t="s">
        <v>35</v>
      </c>
      <c r="F363" t="s">
        <v>39</v>
      </c>
      <c r="G363">
        <v>0</v>
      </c>
      <c r="H363">
        <v>-24.839500000000001</v>
      </c>
      <c r="I363" t="s">
        <v>45</v>
      </c>
      <c r="J363" s="1">
        <v>44248</v>
      </c>
      <c r="K363">
        <v>19.768778151015699</v>
      </c>
      <c r="L363" s="1">
        <v>44259</v>
      </c>
      <c r="M363" s="1">
        <v>44263</v>
      </c>
      <c r="N363">
        <v>197.68778151015701</v>
      </c>
      <c r="O363">
        <v>4</v>
      </c>
      <c r="P363" t="str">
        <f>IF(Table1[[#This Row],[Delivery Delay]]&gt;0,"Late","On Time")</f>
        <v>Late</v>
      </c>
      <c r="Q363">
        <v>19.768778151015702</v>
      </c>
      <c r="R363">
        <v>0</v>
      </c>
      <c r="S363">
        <v>5.0584815731194843E-3</v>
      </c>
      <c r="T363">
        <v>0.67</v>
      </c>
      <c r="U363">
        <v>1</v>
      </c>
      <c r="V363">
        <v>40.251754447193591</v>
      </c>
    </row>
    <row r="364" spans="1:22" x14ac:dyDescent="0.35">
      <c r="A364" t="s">
        <v>104</v>
      </c>
      <c r="B364" t="s">
        <v>12</v>
      </c>
      <c r="C364" t="s">
        <v>9</v>
      </c>
      <c r="D364">
        <v>0.82</v>
      </c>
      <c r="E364" t="s">
        <v>36</v>
      </c>
      <c r="F364" t="s">
        <v>34</v>
      </c>
      <c r="G364">
        <v>1</v>
      </c>
      <c r="H364">
        <v>374.18839999999898</v>
      </c>
      <c r="I364" t="s">
        <v>46</v>
      </c>
      <c r="J364" s="1">
        <v>44920</v>
      </c>
      <c r="K364">
        <v>52.777093124989499</v>
      </c>
      <c r="L364" s="1">
        <v>44934</v>
      </c>
      <c r="M364" s="1">
        <v>44939</v>
      </c>
      <c r="N364">
        <v>474.99383812490601</v>
      </c>
      <c r="O364">
        <v>5</v>
      </c>
      <c r="P364" t="str">
        <f>IF(Table1[[#This Row],[Delivery Delay]]&gt;0,"Late","On Time")</f>
        <v>Late</v>
      </c>
      <c r="Q364">
        <v>52.777093124989555</v>
      </c>
      <c r="R364">
        <v>0.51180973984158706</v>
      </c>
      <c r="S364">
        <v>2.1052904684987443E-3</v>
      </c>
      <c r="T364">
        <v>0.82</v>
      </c>
      <c r="U364">
        <v>0</v>
      </c>
      <c r="V364">
        <v>34.899353510886698</v>
      </c>
    </row>
    <row r="365" spans="1:22" x14ac:dyDescent="0.35">
      <c r="A365" t="s">
        <v>105</v>
      </c>
      <c r="B365" t="s">
        <v>15</v>
      </c>
      <c r="C365" t="s">
        <v>9</v>
      </c>
      <c r="D365">
        <v>0.96</v>
      </c>
      <c r="E365" t="s">
        <v>38</v>
      </c>
      <c r="F365" t="s">
        <v>34</v>
      </c>
      <c r="G365">
        <v>1</v>
      </c>
      <c r="H365">
        <v>316.524</v>
      </c>
      <c r="I365" t="s">
        <v>50</v>
      </c>
      <c r="J365" s="1">
        <v>44232</v>
      </c>
      <c r="K365">
        <v>4.0285093912714203</v>
      </c>
      <c r="L365" s="1">
        <v>44256</v>
      </c>
      <c r="M365" s="1">
        <v>44260</v>
      </c>
      <c r="N365">
        <v>68.484659651614194</v>
      </c>
      <c r="O365">
        <v>4</v>
      </c>
      <c r="P365" t="str">
        <f>IF(Table1[[#This Row],[Delivery Delay]]&gt;0,"Late","On Time")</f>
        <v>Late</v>
      </c>
      <c r="Q365">
        <v>4.0285093912714229</v>
      </c>
      <c r="R365">
        <v>0.82080990809700638</v>
      </c>
      <c r="S365">
        <v>1.460181017306742E-2</v>
      </c>
      <c r="T365">
        <v>0.96</v>
      </c>
      <c r="U365">
        <v>0</v>
      </c>
      <c r="V365">
        <v>45.654252467132153</v>
      </c>
    </row>
    <row r="366" spans="1:22" x14ac:dyDescent="0.35">
      <c r="A366" t="s">
        <v>106</v>
      </c>
      <c r="B366" t="s">
        <v>15</v>
      </c>
      <c r="C366" t="s">
        <v>11</v>
      </c>
      <c r="D366">
        <v>0.61</v>
      </c>
      <c r="E366" t="s">
        <v>36</v>
      </c>
      <c r="F366" t="s">
        <v>34</v>
      </c>
      <c r="G366">
        <v>1</v>
      </c>
      <c r="H366">
        <v>466.92399999999998</v>
      </c>
      <c r="I366" t="s">
        <v>50</v>
      </c>
      <c r="J366" s="1">
        <v>45169</v>
      </c>
      <c r="K366">
        <v>14.180684894788</v>
      </c>
      <c r="L366" s="1">
        <v>45187</v>
      </c>
      <c r="M366" s="1">
        <v>45188</v>
      </c>
      <c r="N366">
        <v>141.80684894788001</v>
      </c>
      <c r="O366">
        <v>1</v>
      </c>
      <c r="P366" t="str">
        <f>IF(Table1[[#This Row],[Delivery Delay]]&gt;0,"Late","On Time")</f>
        <v>Late</v>
      </c>
      <c r="Q366">
        <v>14.180684894788001</v>
      </c>
      <c r="R366">
        <v>0.33506706737738284</v>
      </c>
      <c r="S366">
        <v>7.0518455731820263E-3</v>
      </c>
      <c r="T366">
        <v>0.61</v>
      </c>
      <c r="U366">
        <v>0</v>
      </c>
      <c r="V366">
        <v>25.212896714743117</v>
      </c>
    </row>
    <row r="367" spans="1:22" x14ac:dyDescent="0.35">
      <c r="A367" t="s">
        <v>108</v>
      </c>
      <c r="B367" t="s">
        <v>8</v>
      </c>
      <c r="C367" t="s">
        <v>5</v>
      </c>
      <c r="D367">
        <v>0.87</v>
      </c>
      <c r="E367" t="s">
        <v>38</v>
      </c>
      <c r="F367" t="s">
        <v>34</v>
      </c>
      <c r="G367">
        <v>1</v>
      </c>
      <c r="H367">
        <v>145.375</v>
      </c>
      <c r="I367" t="s">
        <v>48</v>
      </c>
      <c r="J367" s="1">
        <v>45390</v>
      </c>
      <c r="K367">
        <v>34.739063180511401</v>
      </c>
      <c r="L367" s="1">
        <v>45407</v>
      </c>
      <c r="M367" s="1">
        <v>45404</v>
      </c>
      <c r="N367">
        <v>347.39063180511403</v>
      </c>
      <c r="O367">
        <v>-3</v>
      </c>
      <c r="P367" t="str">
        <f>IF(Table1[[#This Row],[Delivery Delay]]&gt;0,"Late","On Time")</f>
        <v>On Time</v>
      </c>
      <c r="Q367">
        <v>34.739063180511401</v>
      </c>
      <c r="R367">
        <v>0.15923218050877624</v>
      </c>
      <c r="S367">
        <v>2.8786038207299714E-3</v>
      </c>
      <c r="T367">
        <v>0.87</v>
      </c>
      <c r="U367">
        <v>0</v>
      </c>
      <c r="V367">
        <v>29.371001724797424</v>
      </c>
    </row>
    <row r="368" spans="1:22" x14ac:dyDescent="0.35">
      <c r="A368" t="s">
        <v>107</v>
      </c>
      <c r="B368" t="s">
        <v>13</v>
      </c>
      <c r="C368" t="s">
        <v>7</v>
      </c>
      <c r="D368">
        <v>0.72</v>
      </c>
      <c r="E368" t="s">
        <v>36</v>
      </c>
      <c r="F368" t="s">
        <v>34</v>
      </c>
      <c r="G368">
        <v>1</v>
      </c>
      <c r="H368">
        <v>388.59799999999899</v>
      </c>
      <c r="I368" t="s">
        <v>50</v>
      </c>
      <c r="J368" s="1">
        <v>45246</v>
      </c>
      <c r="K368">
        <v>42.523389185698598</v>
      </c>
      <c r="L368" s="1">
        <v>45260</v>
      </c>
      <c r="M368" s="1">
        <v>45258</v>
      </c>
      <c r="N368">
        <v>425.23389185698602</v>
      </c>
      <c r="O368">
        <v>-2</v>
      </c>
      <c r="P368" t="str">
        <f>IF(Table1[[#This Row],[Delivery Delay]]&gt;0,"Late","On Time")</f>
        <v>On Time</v>
      </c>
      <c r="Q368">
        <v>42.523389185698605</v>
      </c>
      <c r="R368">
        <v>0.50923734566202372</v>
      </c>
      <c r="S368">
        <v>2.3516469856930369E-3</v>
      </c>
      <c r="T368">
        <v>0.72</v>
      </c>
      <c r="U368">
        <v>0</v>
      </c>
      <c r="V368">
        <v>31.855296322811267</v>
      </c>
    </row>
    <row r="369" spans="1:22" x14ac:dyDescent="0.35">
      <c r="A369" t="s">
        <v>100</v>
      </c>
      <c r="B369" t="s">
        <v>13</v>
      </c>
      <c r="C369" t="s">
        <v>7</v>
      </c>
      <c r="D369">
        <v>0.96</v>
      </c>
      <c r="E369" t="s">
        <v>35</v>
      </c>
      <c r="F369" t="s">
        <v>34</v>
      </c>
      <c r="G369">
        <v>1</v>
      </c>
      <c r="H369">
        <v>594.78399999999897</v>
      </c>
      <c r="I369" t="s">
        <v>49</v>
      </c>
      <c r="J369" s="1">
        <v>45230</v>
      </c>
      <c r="K369">
        <v>39.067968311405302</v>
      </c>
      <c r="L369" s="1">
        <v>45243</v>
      </c>
      <c r="M369" s="1">
        <v>45241</v>
      </c>
      <c r="N369">
        <v>546.95155635967501</v>
      </c>
      <c r="O369">
        <v>-2</v>
      </c>
      <c r="P369" t="str">
        <f>IF(Table1[[#This Row],[Delivery Delay]]&gt;0,"Late","On Time")</f>
        <v>On Time</v>
      </c>
      <c r="Q369">
        <v>39.067968311405359</v>
      </c>
      <c r="R369">
        <v>0.31372052593380367</v>
      </c>
      <c r="S369">
        <v>1.8283154849319061E-3</v>
      </c>
      <c r="T369">
        <v>0.96</v>
      </c>
      <c r="U369">
        <v>0</v>
      </c>
      <c r="V369">
        <v>35.129259983224024</v>
      </c>
    </row>
    <row r="370" spans="1:22" x14ac:dyDescent="0.35">
      <c r="A370" t="s">
        <v>101</v>
      </c>
      <c r="B370" t="s">
        <v>6</v>
      </c>
      <c r="C370" t="s">
        <v>9</v>
      </c>
      <c r="D370">
        <v>0.98</v>
      </c>
      <c r="E370" t="s">
        <v>35</v>
      </c>
      <c r="F370" t="s">
        <v>34</v>
      </c>
      <c r="G370">
        <v>1</v>
      </c>
      <c r="H370">
        <v>43.142399999999803</v>
      </c>
      <c r="I370" t="s">
        <v>51</v>
      </c>
      <c r="J370" s="1">
        <v>44468</v>
      </c>
      <c r="K370">
        <v>76.990580408196905</v>
      </c>
      <c r="L370" s="1">
        <v>44485</v>
      </c>
      <c r="M370" s="1">
        <v>44486</v>
      </c>
      <c r="N370">
        <v>769.90580408196899</v>
      </c>
      <c r="O370">
        <v>1</v>
      </c>
      <c r="P370" t="str">
        <f>IF(Table1[[#This Row],[Delivery Delay]]&gt;0,"Late","On Time")</f>
        <v>Late</v>
      </c>
      <c r="Q370">
        <v>76.990580408196905</v>
      </c>
      <c r="R370">
        <v>4.246874379837292E-2</v>
      </c>
      <c r="S370">
        <v>1.2988601913352165E-3</v>
      </c>
      <c r="T370">
        <v>0.98</v>
      </c>
      <c r="U370">
        <v>0</v>
      </c>
      <c r="V370">
        <v>30.28834068170751</v>
      </c>
    </row>
    <row r="371" spans="1:22" x14ac:dyDescent="0.35">
      <c r="A371" t="s">
        <v>102</v>
      </c>
      <c r="B371" t="s">
        <v>4</v>
      </c>
      <c r="C371" t="s">
        <v>9</v>
      </c>
      <c r="D371">
        <v>0.97</v>
      </c>
      <c r="E371" t="s">
        <v>37</v>
      </c>
      <c r="F371" t="s">
        <v>34</v>
      </c>
      <c r="G371">
        <v>1</v>
      </c>
      <c r="H371">
        <v>3.3296000000000201</v>
      </c>
      <c r="I371" t="s">
        <v>50</v>
      </c>
      <c r="J371" s="1">
        <v>44978</v>
      </c>
      <c r="K371">
        <v>72.663596736847694</v>
      </c>
      <c r="L371" s="1">
        <v>44989</v>
      </c>
      <c r="M371" s="1">
        <v>44989</v>
      </c>
      <c r="N371">
        <v>217.990790210543</v>
      </c>
      <c r="O371">
        <v>0</v>
      </c>
      <c r="P371" t="str">
        <f>IF(Table1[[#This Row],[Delivery Delay]]&gt;0,"Late","On Time")</f>
        <v>On Time</v>
      </c>
      <c r="Q371">
        <v>72.663596736847666</v>
      </c>
      <c r="R371">
        <v>4.5448489891478632E-3</v>
      </c>
      <c r="S371">
        <v>4.587349763878399E-3</v>
      </c>
      <c r="T371">
        <v>0.97</v>
      </c>
      <c r="U371">
        <v>0</v>
      </c>
      <c r="V371">
        <v>29.328517472699307</v>
      </c>
    </row>
    <row r="372" spans="1:22" x14ac:dyDescent="0.35">
      <c r="A372" t="s">
        <v>99</v>
      </c>
      <c r="B372" t="s">
        <v>12</v>
      </c>
      <c r="C372" t="s">
        <v>7</v>
      </c>
      <c r="D372">
        <v>0.78</v>
      </c>
      <c r="E372" t="s">
        <v>37</v>
      </c>
      <c r="F372" t="s">
        <v>34</v>
      </c>
      <c r="G372">
        <v>1</v>
      </c>
      <c r="H372">
        <v>32.944200000000102</v>
      </c>
      <c r="I372" t="s">
        <v>50</v>
      </c>
      <c r="J372" s="1">
        <v>44770</v>
      </c>
      <c r="K372">
        <v>64.294434686751799</v>
      </c>
      <c r="L372" s="1">
        <v>44783</v>
      </c>
      <c r="M372" s="1">
        <v>44789</v>
      </c>
      <c r="N372">
        <v>707.23878155426996</v>
      </c>
      <c r="O372">
        <v>6</v>
      </c>
      <c r="P372" t="str">
        <f>IF(Table1[[#This Row],[Delivery Delay]]&gt;0,"Late","On Time")</f>
        <v>Late</v>
      </c>
      <c r="Q372">
        <v>64.294434686751814</v>
      </c>
      <c r="R372">
        <v>5.2749188928501937E-2</v>
      </c>
      <c r="S372">
        <v>1.4139496109112407E-3</v>
      </c>
      <c r="T372">
        <v>0.78</v>
      </c>
      <c r="U372">
        <v>0</v>
      </c>
      <c r="V372">
        <v>24.497402266897375</v>
      </c>
    </row>
    <row r="373" spans="1:22" x14ac:dyDescent="0.35">
      <c r="A373" t="s">
        <v>103</v>
      </c>
      <c r="B373" t="s">
        <v>8</v>
      </c>
      <c r="C373" t="s">
        <v>9</v>
      </c>
      <c r="D373">
        <v>0.94</v>
      </c>
      <c r="E373" t="s">
        <v>35</v>
      </c>
      <c r="F373" t="s">
        <v>34</v>
      </c>
      <c r="G373">
        <v>1</v>
      </c>
      <c r="H373">
        <v>516.63149999999905</v>
      </c>
      <c r="I373" t="s">
        <v>46</v>
      </c>
      <c r="J373" s="1">
        <v>45004</v>
      </c>
      <c r="K373">
        <v>44.209428232733501</v>
      </c>
      <c r="L373" s="1">
        <v>45028</v>
      </c>
      <c r="M373" s="1">
        <v>45027</v>
      </c>
      <c r="N373">
        <v>530.51313879280201</v>
      </c>
      <c r="O373">
        <v>-1</v>
      </c>
      <c r="P373" t="str">
        <f>IF(Table1[[#This Row],[Delivery Delay]]&gt;0,"Late","On Time")</f>
        <v>On Time</v>
      </c>
      <c r="Q373">
        <v>44.209428232733501</v>
      </c>
      <c r="R373">
        <v>0.32200284025837334</v>
      </c>
      <c r="S373">
        <v>1.8849674529749234E-3</v>
      </c>
      <c r="T373">
        <v>0.94</v>
      </c>
      <c r="U373">
        <v>0</v>
      </c>
      <c r="V373">
        <v>34.696605828756709</v>
      </c>
    </row>
    <row r="374" spans="1:22" x14ac:dyDescent="0.35">
      <c r="A374" t="s">
        <v>104</v>
      </c>
      <c r="B374" t="s">
        <v>6</v>
      </c>
      <c r="C374" t="s">
        <v>11</v>
      </c>
      <c r="D374">
        <v>0.93</v>
      </c>
      <c r="E374" t="s">
        <v>37</v>
      </c>
      <c r="F374" t="s">
        <v>34</v>
      </c>
      <c r="G374">
        <v>1</v>
      </c>
      <c r="H374">
        <v>861.85199999999998</v>
      </c>
      <c r="I374" t="s">
        <v>46</v>
      </c>
      <c r="J374" s="1">
        <v>45280</v>
      </c>
      <c r="K374">
        <v>45.4781581323832</v>
      </c>
      <c r="L374" s="1">
        <v>45296</v>
      </c>
      <c r="M374" s="1">
        <v>45299</v>
      </c>
      <c r="N374">
        <v>545.737897588598</v>
      </c>
      <c r="O374">
        <v>3</v>
      </c>
      <c r="P374" t="str">
        <f>IF(Table1[[#This Row],[Delivery Delay]]&gt;0,"Late","On Time")</f>
        <v>Late</v>
      </c>
      <c r="Q374">
        <v>45.478158132383165</v>
      </c>
      <c r="R374">
        <v>0.81595301121323327</v>
      </c>
      <c r="S374">
        <v>1.8323814498106294E-3</v>
      </c>
      <c r="T374">
        <v>0.93</v>
      </c>
      <c r="U374">
        <v>0</v>
      </c>
      <c r="V374">
        <v>44.274031667758983</v>
      </c>
    </row>
    <row r="375" spans="1:22" x14ac:dyDescent="0.35">
      <c r="A375" t="s">
        <v>105</v>
      </c>
      <c r="B375" t="s">
        <v>10</v>
      </c>
      <c r="C375" t="s">
        <v>7</v>
      </c>
      <c r="D375">
        <v>0.72</v>
      </c>
      <c r="E375" t="s">
        <v>37</v>
      </c>
      <c r="F375" t="s">
        <v>34</v>
      </c>
      <c r="G375">
        <v>1</v>
      </c>
      <c r="H375">
        <v>52.708599999999997</v>
      </c>
      <c r="I375" t="s">
        <v>47</v>
      </c>
      <c r="J375" s="1">
        <v>44799</v>
      </c>
      <c r="K375">
        <v>23.925639151508001</v>
      </c>
      <c r="L375" s="1">
        <v>44820</v>
      </c>
      <c r="M375" s="1">
        <v>44820</v>
      </c>
      <c r="N375">
        <v>358.88458727262002</v>
      </c>
      <c r="O375">
        <v>0</v>
      </c>
      <c r="P375" t="str">
        <f>IF(Table1[[#This Row],[Delivery Delay]]&gt;0,"Late","On Time")</f>
        <v>On Time</v>
      </c>
      <c r="Q375">
        <v>23.925639151508001</v>
      </c>
      <c r="R375">
        <v>0.40353058446499962</v>
      </c>
      <c r="S375">
        <v>2.7864111067003512E-3</v>
      </c>
      <c r="T375">
        <v>0.72</v>
      </c>
      <c r="U375">
        <v>0</v>
      </c>
      <c r="V375">
        <v>29.754204022501003</v>
      </c>
    </row>
    <row r="376" spans="1:22" x14ac:dyDescent="0.35">
      <c r="A376" t="s">
        <v>106</v>
      </c>
      <c r="B376" t="s">
        <v>4</v>
      </c>
      <c r="C376" t="s">
        <v>9</v>
      </c>
      <c r="D376">
        <v>0.92</v>
      </c>
      <c r="E376" t="s">
        <v>37</v>
      </c>
      <c r="F376" t="s">
        <v>34</v>
      </c>
      <c r="G376">
        <v>1</v>
      </c>
      <c r="H376">
        <v>182.76480000000001</v>
      </c>
      <c r="I376" t="s">
        <v>45</v>
      </c>
      <c r="J376" s="1">
        <v>44540</v>
      </c>
      <c r="K376">
        <v>55.907119335583801</v>
      </c>
      <c r="L376" s="1">
        <v>44561</v>
      </c>
      <c r="M376" s="1">
        <v>44562</v>
      </c>
      <c r="N376">
        <v>726.79255136258905</v>
      </c>
      <c r="O376">
        <v>1</v>
      </c>
      <c r="P376" t="str">
        <f>IF(Table1[[#This Row],[Delivery Delay]]&gt;0,"Late","On Time")</f>
        <v>Late</v>
      </c>
      <c r="Q376">
        <v>55.907119335583772</v>
      </c>
      <c r="R376">
        <v>0.77107880694340847</v>
      </c>
      <c r="S376">
        <v>1.3759084323651946E-3</v>
      </c>
      <c r="T376">
        <v>0.92</v>
      </c>
      <c r="U376">
        <v>0</v>
      </c>
      <c r="V376">
        <v>43.062853391839127</v>
      </c>
    </row>
    <row r="377" spans="1:22" x14ac:dyDescent="0.35">
      <c r="A377" t="s">
        <v>108</v>
      </c>
      <c r="B377" t="s">
        <v>4</v>
      </c>
      <c r="C377" t="s">
        <v>7</v>
      </c>
      <c r="D377">
        <v>0.61</v>
      </c>
      <c r="E377" t="s">
        <v>36</v>
      </c>
      <c r="F377" t="s">
        <v>34</v>
      </c>
      <c r="G377">
        <v>1</v>
      </c>
      <c r="H377">
        <v>84.45</v>
      </c>
      <c r="I377" t="s">
        <v>49</v>
      </c>
      <c r="J377" s="1">
        <v>45121</v>
      </c>
      <c r="K377">
        <v>52.1027493660646</v>
      </c>
      <c r="L377" s="1">
        <v>45136</v>
      </c>
      <c r="M377" s="1">
        <v>45134</v>
      </c>
      <c r="N377">
        <v>416.82199492851697</v>
      </c>
      <c r="O377">
        <v>-2</v>
      </c>
      <c r="P377" t="str">
        <f>IF(Table1[[#This Row],[Delivery Delay]]&gt;0,"Late","On Time")</f>
        <v>On Time</v>
      </c>
      <c r="Q377">
        <v>52.102749366064621</v>
      </c>
      <c r="R377">
        <v>0.51985226223453374</v>
      </c>
      <c r="S377">
        <v>2.3991056426172887E-3</v>
      </c>
      <c r="T377">
        <v>0.61</v>
      </c>
      <c r="U377">
        <v>0</v>
      </c>
      <c r="V377">
        <v>28.769018413969192</v>
      </c>
    </row>
    <row r="378" spans="1:22" x14ac:dyDescent="0.35">
      <c r="A378" t="s">
        <v>103</v>
      </c>
      <c r="B378" t="s">
        <v>8</v>
      </c>
      <c r="C378" t="s">
        <v>5</v>
      </c>
      <c r="D378">
        <v>0.83</v>
      </c>
      <c r="E378" t="s">
        <v>37</v>
      </c>
      <c r="F378" t="s">
        <v>39</v>
      </c>
      <c r="G378">
        <v>0</v>
      </c>
      <c r="H378">
        <v>284.34640000000002</v>
      </c>
      <c r="I378" t="s">
        <v>50</v>
      </c>
      <c r="J378" s="1">
        <v>44311</v>
      </c>
      <c r="K378">
        <v>37.569602235796701</v>
      </c>
      <c r="L378" s="1">
        <v>44321</v>
      </c>
      <c r="M378" s="1">
        <v>44326</v>
      </c>
      <c r="N378">
        <v>262.98721565057701</v>
      </c>
      <c r="O378">
        <v>5</v>
      </c>
      <c r="P378" t="str">
        <f>IF(Table1[[#This Row],[Delivery Delay]]&gt;0,"Late","On Time")</f>
        <v>Late</v>
      </c>
      <c r="Q378">
        <v>37.569602235796715</v>
      </c>
      <c r="R378">
        <v>0.8348730307493194</v>
      </c>
      <c r="S378">
        <v>3.802466205538558E-3</v>
      </c>
      <c r="T378">
        <v>0.83</v>
      </c>
      <c r="U378">
        <v>1</v>
      </c>
      <c r="V378">
        <v>61.71153460115255</v>
      </c>
    </row>
    <row r="379" spans="1:22" x14ac:dyDescent="0.35">
      <c r="A379" t="s">
        <v>104</v>
      </c>
      <c r="B379" t="s">
        <v>14</v>
      </c>
      <c r="C379" t="s">
        <v>9</v>
      </c>
      <c r="D379">
        <v>0.69</v>
      </c>
      <c r="E379" t="s">
        <v>35</v>
      </c>
      <c r="F379" t="s">
        <v>34</v>
      </c>
      <c r="G379">
        <v>1</v>
      </c>
      <c r="H379">
        <v>358.30200000000002</v>
      </c>
      <c r="I379" t="s">
        <v>50</v>
      </c>
      <c r="J379" s="1">
        <v>44218</v>
      </c>
      <c r="K379">
        <v>38.971387464162397</v>
      </c>
      <c r="L379" s="1">
        <v>44237</v>
      </c>
      <c r="M379" s="1">
        <v>44241</v>
      </c>
      <c r="N379">
        <v>350.74248717746201</v>
      </c>
      <c r="O379">
        <v>4</v>
      </c>
      <c r="P379" t="str">
        <f>IF(Table1[[#This Row],[Delivery Delay]]&gt;0,"Late","On Time")</f>
        <v>Late</v>
      </c>
      <c r="Q379">
        <v>38.971387464162447</v>
      </c>
      <c r="R379">
        <v>0.26994557421314663</v>
      </c>
      <c r="S379">
        <v>2.8510945681184015E-3</v>
      </c>
      <c r="T379">
        <v>0.69</v>
      </c>
      <c r="U379">
        <v>0</v>
      </c>
      <c r="V379">
        <v>26.184444321306486</v>
      </c>
    </row>
    <row r="380" spans="1:22" x14ac:dyDescent="0.35">
      <c r="A380" t="s">
        <v>105</v>
      </c>
      <c r="B380" t="s">
        <v>12</v>
      </c>
      <c r="C380" t="s">
        <v>7</v>
      </c>
      <c r="D380">
        <v>0.65</v>
      </c>
      <c r="E380" t="s">
        <v>36</v>
      </c>
      <c r="F380" t="s">
        <v>34</v>
      </c>
      <c r="G380">
        <v>1</v>
      </c>
      <c r="H380">
        <v>334.07359999999898</v>
      </c>
      <c r="I380" t="s">
        <v>51</v>
      </c>
      <c r="J380" s="1">
        <v>44518</v>
      </c>
      <c r="K380">
        <v>63.325457481417203</v>
      </c>
      <c r="L380" s="1">
        <v>44535</v>
      </c>
      <c r="M380" s="1">
        <v>44533</v>
      </c>
      <c r="N380">
        <v>633.25457481417197</v>
      </c>
      <c r="O380">
        <v>-2</v>
      </c>
      <c r="P380" t="str">
        <f>IF(Table1[[#This Row],[Delivery Delay]]&gt;0,"Late","On Time")</f>
        <v>On Time</v>
      </c>
      <c r="Q380">
        <v>63.325457481417196</v>
      </c>
      <c r="R380">
        <v>0.332943722184394</v>
      </c>
      <c r="S380">
        <v>1.5791437437202079E-3</v>
      </c>
      <c r="T380">
        <v>0.65</v>
      </c>
      <c r="U380">
        <v>0</v>
      </c>
      <c r="V380">
        <v>26.206248755999489</v>
      </c>
    </row>
    <row r="381" spans="1:22" x14ac:dyDescent="0.35">
      <c r="A381" t="s">
        <v>106</v>
      </c>
      <c r="B381" t="s">
        <v>4</v>
      </c>
      <c r="C381" t="s">
        <v>9</v>
      </c>
      <c r="D381">
        <v>0.63</v>
      </c>
      <c r="E381" t="s">
        <v>37</v>
      </c>
      <c r="F381" t="s">
        <v>34</v>
      </c>
      <c r="G381">
        <v>1</v>
      </c>
      <c r="H381">
        <v>370.084</v>
      </c>
      <c r="I381" t="s">
        <v>47</v>
      </c>
      <c r="J381" s="1">
        <v>44401</v>
      </c>
      <c r="K381">
        <v>55.9739774311819</v>
      </c>
      <c r="L381" s="1">
        <v>44421</v>
      </c>
      <c r="M381" s="1">
        <v>44420</v>
      </c>
      <c r="N381">
        <v>503.76579688063703</v>
      </c>
      <c r="O381">
        <v>-1</v>
      </c>
      <c r="P381" t="str">
        <f>IF(Table1[[#This Row],[Delivery Delay]]&gt;0,"Late","On Time")</f>
        <v>On Time</v>
      </c>
      <c r="Q381">
        <v>55.973977431181893</v>
      </c>
      <c r="R381">
        <v>0.29168400610348172</v>
      </c>
      <c r="S381">
        <v>1.9850494142160694E-3</v>
      </c>
      <c r="T381">
        <v>0.63</v>
      </c>
      <c r="U381">
        <v>0</v>
      </c>
      <c r="V381">
        <v>24.793231604496118</v>
      </c>
    </row>
    <row r="382" spans="1:22" x14ac:dyDescent="0.35">
      <c r="A382" t="s">
        <v>108</v>
      </c>
      <c r="B382" t="s">
        <v>8</v>
      </c>
      <c r="C382" t="s">
        <v>9</v>
      </c>
      <c r="D382">
        <v>0.87</v>
      </c>
      <c r="E382" t="s">
        <v>37</v>
      </c>
      <c r="F382" t="s">
        <v>34</v>
      </c>
      <c r="G382">
        <v>1</v>
      </c>
      <c r="H382">
        <v>88.4512</v>
      </c>
      <c r="I382" t="s">
        <v>45</v>
      </c>
      <c r="J382" s="1">
        <v>45105</v>
      </c>
      <c r="K382">
        <v>7.7408786874004996</v>
      </c>
      <c r="L382" s="1">
        <v>45118</v>
      </c>
      <c r="M382" s="1">
        <v>45117</v>
      </c>
      <c r="N382">
        <v>85.149665561405499</v>
      </c>
      <c r="O382">
        <v>-1</v>
      </c>
      <c r="P382" t="str">
        <f>IF(Table1[[#This Row],[Delivery Delay]]&gt;0,"Late","On Time")</f>
        <v>On Time</v>
      </c>
      <c r="Q382">
        <v>7.7408786874004996</v>
      </c>
      <c r="R382">
        <v>0.40989252573784285</v>
      </c>
      <c r="S382">
        <v>1.174402733594828E-2</v>
      </c>
      <c r="T382">
        <v>0.87</v>
      </c>
      <c r="U382">
        <v>0</v>
      </c>
      <c r="V382">
        <v>34.650171334835314</v>
      </c>
    </row>
    <row r="383" spans="1:22" x14ac:dyDescent="0.35">
      <c r="A383" t="s">
        <v>107</v>
      </c>
      <c r="B383" t="s">
        <v>8</v>
      </c>
      <c r="C383" t="s">
        <v>9</v>
      </c>
      <c r="D383">
        <v>0.73</v>
      </c>
      <c r="E383" t="s">
        <v>35</v>
      </c>
      <c r="F383" t="s">
        <v>34</v>
      </c>
      <c r="G383">
        <v>1</v>
      </c>
      <c r="H383">
        <v>33.438999999999901</v>
      </c>
      <c r="I383" t="s">
        <v>47</v>
      </c>
      <c r="J383" s="1">
        <v>45206</v>
      </c>
      <c r="K383">
        <v>12.4079220144197</v>
      </c>
      <c r="L383" s="1">
        <v>45226</v>
      </c>
      <c r="M383" s="1">
        <v>45226</v>
      </c>
      <c r="N383">
        <v>111.671298129777</v>
      </c>
      <c r="O383">
        <v>0</v>
      </c>
      <c r="P383" t="str">
        <f>IF(Table1[[#This Row],[Delivery Delay]]&gt;0,"Late","On Time")</f>
        <v>On Time</v>
      </c>
      <c r="Q383">
        <v>12.407922014419666</v>
      </c>
      <c r="R383">
        <v>0.44831007253080141</v>
      </c>
      <c r="S383">
        <v>8.9548524710249735E-3</v>
      </c>
      <c r="T383">
        <v>0.73</v>
      </c>
      <c r="U383">
        <v>0</v>
      </c>
      <c r="V383">
        <v>31.134847024746783</v>
      </c>
    </row>
    <row r="384" spans="1:22" x14ac:dyDescent="0.35">
      <c r="A384" t="s">
        <v>100</v>
      </c>
      <c r="B384" t="s">
        <v>6</v>
      </c>
      <c r="C384" t="s">
        <v>7</v>
      </c>
      <c r="D384">
        <v>0.88</v>
      </c>
      <c r="E384" t="s">
        <v>36</v>
      </c>
      <c r="F384" t="s">
        <v>34</v>
      </c>
      <c r="G384">
        <v>1</v>
      </c>
      <c r="H384">
        <v>306.726</v>
      </c>
      <c r="I384" t="s">
        <v>48</v>
      </c>
      <c r="J384" s="1">
        <v>44293</v>
      </c>
      <c r="K384">
        <v>70.966015905410501</v>
      </c>
      <c r="L384" s="1">
        <v>44317</v>
      </c>
      <c r="M384" s="1">
        <v>44314</v>
      </c>
      <c r="N384">
        <v>922.55820677033705</v>
      </c>
      <c r="O384">
        <v>-3</v>
      </c>
      <c r="P384" t="str">
        <f>IF(Table1[[#This Row],[Delivery Delay]]&gt;0,"Late","On Time")</f>
        <v>On Time</v>
      </c>
      <c r="Q384">
        <v>70.966015905410543</v>
      </c>
      <c r="R384">
        <v>0.25632570243334174</v>
      </c>
      <c r="S384">
        <v>1.0839424468411254E-3</v>
      </c>
      <c r="T384">
        <v>0.88</v>
      </c>
      <c r="U384">
        <v>0</v>
      </c>
      <c r="V384">
        <v>31.559032322072074</v>
      </c>
    </row>
    <row r="385" spans="1:22" x14ac:dyDescent="0.35">
      <c r="A385" t="s">
        <v>101</v>
      </c>
      <c r="B385" t="s">
        <v>10</v>
      </c>
      <c r="C385" t="s">
        <v>5</v>
      </c>
      <c r="D385">
        <v>0.63</v>
      </c>
      <c r="E385" t="s">
        <v>35</v>
      </c>
      <c r="F385" t="s">
        <v>34</v>
      </c>
      <c r="G385">
        <v>1</v>
      </c>
      <c r="H385">
        <v>40.712000000000003</v>
      </c>
      <c r="I385" t="s">
        <v>45</v>
      </c>
      <c r="J385" s="1">
        <v>44428</v>
      </c>
      <c r="K385">
        <v>38.656485487796999</v>
      </c>
      <c r="L385" s="1">
        <v>44446</v>
      </c>
      <c r="M385" s="1">
        <v>44452</v>
      </c>
      <c r="N385">
        <v>425.22134036576699</v>
      </c>
      <c r="O385">
        <v>6</v>
      </c>
      <c r="P385" t="str">
        <f>IF(Table1[[#This Row],[Delivery Delay]]&gt;0,"Late","On Time")</f>
        <v>Late</v>
      </c>
      <c r="Q385">
        <v>38.656485487796999</v>
      </c>
      <c r="R385">
        <v>0.13763725861416132</v>
      </c>
      <c r="S385">
        <v>2.3517164005452309E-3</v>
      </c>
      <c r="T385">
        <v>0.63</v>
      </c>
      <c r="U385">
        <v>0</v>
      </c>
      <c r="V385">
        <v>21.723296664299586</v>
      </c>
    </row>
    <row r="386" spans="1:22" x14ac:dyDescent="0.35">
      <c r="A386" t="s">
        <v>102</v>
      </c>
      <c r="B386" t="s">
        <v>14</v>
      </c>
      <c r="C386" t="s">
        <v>9</v>
      </c>
      <c r="D386">
        <v>0.72</v>
      </c>
      <c r="E386" t="s">
        <v>38</v>
      </c>
      <c r="F386" t="s">
        <v>39</v>
      </c>
      <c r="G386">
        <v>0</v>
      </c>
      <c r="H386">
        <v>-163.53599999999901</v>
      </c>
      <c r="I386" t="s">
        <v>50</v>
      </c>
      <c r="J386" s="1">
        <v>44730</v>
      </c>
      <c r="K386">
        <v>42.755936407705299</v>
      </c>
      <c r="L386" s="1">
        <v>44753</v>
      </c>
      <c r="M386" s="1">
        <v>44755</v>
      </c>
      <c r="N386">
        <v>256.53561844623198</v>
      </c>
      <c r="O386">
        <v>2</v>
      </c>
      <c r="P386" t="str">
        <f>IF(Table1[[#This Row],[Delivery Delay]]&gt;0,"Late","On Time")</f>
        <v>Late</v>
      </c>
      <c r="Q386">
        <v>42.755936407705327</v>
      </c>
      <c r="R386">
        <v>0</v>
      </c>
      <c r="S386">
        <v>3.8980941752133061E-3</v>
      </c>
      <c r="T386">
        <v>0.72</v>
      </c>
      <c r="U386">
        <v>1</v>
      </c>
      <c r="V386">
        <v>41.716942825256396</v>
      </c>
    </row>
    <row r="387" spans="1:22" x14ac:dyDescent="0.35">
      <c r="A387" t="s">
        <v>99</v>
      </c>
      <c r="B387" t="s">
        <v>12</v>
      </c>
      <c r="C387" t="s">
        <v>7</v>
      </c>
      <c r="D387">
        <v>0.81</v>
      </c>
      <c r="E387" t="s">
        <v>38</v>
      </c>
      <c r="F387" t="s">
        <v>39</v>
      </c>
      <c r="G387">
        <v>0</v>
      </c>
      <c r="H387">
        <v>29.93</v>
      </c>
      <c r="I387" t="s">
        <v>50</v>
      </c>
      <c r="J387" s="1">
        <v>44734</v>
      </c>
      <c r="K387">
        <v>61.419143230924199</v>
      </c>
      <c r="L387" s="1">
        <v>44747</v>
      </c>
      <c r="M387" s="1">
        <v>44753</v>
      </c>
      <c r="N387">
        <v>859.86800523293903</v>
      </c>
      <c r="O387">
        <v>6</v>
      </c>
      <c r="P387" t="str">
        <f>IF(Table1[[#This Row],[Delivery Delay]]&gt;0,"Late","On Time")</f>
        <v>Late</v>
      </c>
      <c r="Q387">
        <v>61.419143230924213</v>
      </c>
      <c r="R387">
        <v>9.7418871854962077E-2</v>
      </c>
      <c r="S387">
        <v>1.1629691928461731E-3</v>
      </c>
      <c r="T387">
        <v>0.81</v>
      </c>
      <c r="U387">
        <v>1</v>
      </c>
      <c r="V387">
        <v>46.28326651288463</v>
      </c>
    </row>
    <row r="388" spans="1:22" x14ac:dyDescent="0.35">
      <c r="A388" t="s">
        <v>103</v>
      </c>
      <c r="B388" t="s">
        <v>13</v>
      </c>
      <c r="C388" t="s">
        <v>9</v>
      </c>
      <c r="D388">
        <v>0.91</v>
      </c>
      <c r="E388" t="s">
        <v>37</v>
      </c>
      <c r="F388" t="s">
        <v>34</v>
      </c>
      <c r="G388">
        <v>1</v>
      </c>
      <c r="H388">
        <v>63.5200999999999</v>
      </c>
      <c r="I388" t="s">
        <v>45</v>
      </c>
      <c r="J388" s="1">
        <v>44392</v>
      </c>
      <c r="K388">
        <v>56.839610469102503</v>
      </c>
      <c r="L388" s="1">
        <v>44402</v>
      </c>
      <c r="M388" s="1">
        <v>44408</v>
      </c>
      <c r="N388">
        <v>454.71688375282002</v>
      </c>
      <c r="O388">
        <v>6</v>
      </c>
      <c r="P388" t="str">
        <f>IF(Table1[[#This Row],[Delivery Delay]]&gt;0,"Late","On Time")</f>
        <v>Late</v>
      </c>
      <c r="Q388">
        <v>56.839610469102503</v>
      </c>
      <c r="R388">
        <v>4.8235661209104753E-2</v>
      </c>
      <c r="S388">
        <v>2.1991705954415163E-3</v>
      </c>
      <c r="T388">
        <v>0.91</v>
      </c>
      <c r="U388">
        <v>0</v>
      </c>
      <c r="V388">
        <v>28.330688342045342</v>
      </c>
    </row>
    <row r="389" spans="1:22" x14ac:dyDescent="0.35">
      <c r="A389" t="s">
        <v>104</v>
      </c>
      <c r="B389" t="s">
        <v>15</v>
      </c>
      <c r="C389" t="s">
        <v>11</v>
      </c>
      <c r="D389">
        <v>0.72</v>
      </c>
      <c r="E389" t="s">
        <v>38</v>
      </c>
      <c r="F389" t="s">
        <v>34</v>
      </c>
      <c r="G389">
        <v>1</v>
      </c>
      <c r="H389">
        <v>-280.11</v>
      </c>
      <c r="I389" t="s">
        <v>50</v>
      </c>
      <c r="J389" s="1">
        <v>45148</v>
      </c>
      <c r="K389">
        <v>27.799240286342599</v>
      </c>
      <c r="L389" s="1">
        <v>45162</v>
      </c>
      <c r="M389" s="1">
        <v>45163</v>
      </c>
      <c r="N389">
        <v>333.59088343611103</v>
      </c>
      <c r="O389">
        <v>1</v>
      </c>
      <c r="P389" t="str">
        <f>IF(Table1[[#This Row],[Delivery Delay]]&gt;0,"Late","On Time")</f>
        <v>Late</v>
      </c>
      <c r="Q389">
        <v>27.799240286342584</v>
      </c>
      <c r="R389">
        <v>0</v>
      </c>
      <c r="S389">
        <v>2.9976838386577762E-3</v>
      </c>
      <c r="T389">
        <v>0.72</v>
      </c>
      <c r="U389">
        <v>0</v>
      </c>
      <c r="V389">
        <v>21.689930515159734</v>
      </c>
    </row>
    <row r="390" spans="1:22" x14ac:dyDescent="0.35">
      <c r="A390" t="s">
        <v>105</v>
      </c>
      <c r="B390" t="s">
        <v>10</v>
      </c>
      <c r="C390" t="s">
        <v>9</v>
      </c>
      <c r="D390">
        <v>0.84</v>
      </c>
      <c r="E390" t="s">
        <v>37</v>
      </c>
      <c r="F390" t="s">
        <v>39</v>
      </c>
      <c r="G390">
        <v>0</v>
      </c>
      <c r="H390">
        <v>278.334</v>
      </c>
      <c r="I390" t="s">
        <v>49</v>
      </c>
      <c r="J390" s="1">
        <v>44629</v>
      </c>
      <c r="K390">
        <v>55.400776387823001</v>
      </c>
      <c r="L390" s="1">
        <v>44652</v>
      </c>
      <c r="M390" s="1">
        <v>44650</v>
      </c>
      <c r="N390">
        <v>332.40465832693798</v>
      </c>
      <c r="O390">
        <v>-2</v>
      </c>
      <c r="P390" t="str">
        <f>IF(Table1[[#This Row],[Delivery Delay]]&gt;0,"Late","On Time")</f>
        <v>On Time</v>
      </c>
      <c r="Q390">
        <v>55.400776387822994</v>
      </c>
      <c r="R390">
        <v>0.57137050585670468</v>
      </c>
      <c r="S390">
        <v>3.0083814259198676E-3</v>
      </c>
      <c r="T390">
        <v>0.84</v>
      </c>
      <c r="U390">
        <v>1</v>
      </c>
      <c r="V390">
        <v>56.71766155991169</v>
      </c>
    </row>
    <row r="391" spans="1:22" x14ac:dyDescent="0.35">
      <c r="A391" t="s">
        <v>106</v>
      </c>
      <c r="B391" t="s">
        <v>10</v>
      </c>
      <c r="C391" t="s">
        <v>11</v>
      </c>
      <c r="D391">
        <v>0.95</v>
      </c>
      <c r="E391" t="s">
        <v>36</v>
      </c>
      <c r="F391" t="s">
        <v>34</v>
      </c>
      <c r="G391">
        <v>1</v>
      </c>
      <c r="H391">
        <v>62.51</v>
      </c>
      <c r="I391" t="s">
        <v>45</v>
      </c>
      <c r="J391" s="1">
        <v>44934</v>
      </c>
      <c r="K391">
        <v>65.5746662927789</v>
      </c>
      <c r="L391" s="1">
        <v>44955</v>
      </c>
      <c r="M391" s="1">
        <v>44958</v>
      </c>
      <c r="N391">
        <v>786.89599551334697</v>
      </c>
      <c r="O391">
        <v>3</v>
      </c>
      <c r="P391" t="str">
        <f>IF(Table1[[#This Row],[Delivery Delay]]&gt;0,"Late","On Time")</f>
        <v>Late</v>
      </c>
      <c r="Q391">
        <v>65.574666292778915</v>
      </c>
      <c r="R391">
        <v>0.43361542730299668</v>
      </c>
      <c r="S391">
        <v>1.2708159727609625E-3</v>
      </c>
      <c r="T391">
        <v>0.95</v>
      </c>
      <c r="U391">
        <v>0</v>
      </c>
      <c r="V391">
        <v>37.210433025242764</v>
      </c>
    </row>
    <row r="392" spans="1:22" x14ac:dyDescent="0.35">
      <c r="A392" t="s">
        <v>108</v>
      </c>
      <c r="B392" t="s">
        <v>6</v>
      </c>
      <c r="C392" t="s">
        <v>7</v>
      </c>
      <c r="D392">
        <v>0.84</v>
      </c>
      <c r="E392" t="s">
        <v>38</v>
      </c>
      <c r="F392" t="s">
        <v>39</v>
      </c>
      <c r="G392">
        <v>0</v>
      </c>
      <c r="H392">
        <v>831.46050000000002</v>
      </c>
      <c r="I392" t="s">
        <v>47</v>
      </c>
      <c r="J392" s="1">
        <v>44947</v>
      </c>
      <c r="K392">
        <v>75.425171438418701</v>
      </c>
      <c r="L392" s="1">
        <v>44964</v>
      </c>
      <c r="M392" s="1">
        <v>44969</v>
      </c>
      <c r="N392">
        <v>980.52722869944296</v>
      </c>
      <c r="O392">
        <v>5</v>
      </c>
      <c r="P392" t="str">
        <f>IF(Table1[[#This Row],[Delivery Delay]]&gt;0,"Late","On Time")</f>
        <v>Late</v>
      </c>
      <c r="Q392">
        <v>75.425171438418687</v>
      </c>
      <c r="R392">
        <v>0.63914227106531207</v>
      </c>
      <c r="S392">
        <v>1.0198594906195369E-3</v>
      </c>
      <c r="T392">
        <v>0.84</v>
      </c>
      <c r="U392">
        <v>1</v>
      </c>
      <c r="V392">
        <v>58.013441206024829</v>
      </c>
    </row>
    <row r="393" spans="1:22" x14ac:dyDescent="0.35">
      <c r="A393" t="s">
        <v>102</v>
      </c>
      <c r="B393" t="s">
        <v>13</v>
      </c>
      <c r="C393" t="s">
        <v>5</v>
      </c>
      <c r="D393">
        <v>0.69</v>
      </c>
      <c r="E393" t="s">
        <v>38</v>
      </c>
      <c r="F393" t="s">
        <v>34</v>
      </c>
      <c r="G393">
        <v>1</v>
      </c>
      <c r="H393">
        <v>241.02719999999999</v>
      </c>
      <c r="I393" t="s">
        <v>45</v>
      </c>
      <c r="J393" s="1">
        <v>45133</v>
      </c>
      <c r="K393">
        <v>43.229132515747096</v>
      </c>
      <c r="L393" s="1">
        <v>45153</v>
      </c>
      <c r="M393" s="1">
        <v>45159</v>
      </c>
      <c r="N393">
        <v>518.74959018896504</v>
      </c>
      <c r="O393">
        <v>6</v>
      </c>
      <c r="P393" t="str">
        <f>IF(Table1[[#This Row],[Delivery Delay]]&gt;0,"Late","On Time")</f>
        <v>Late</v>
      </c>
      <c r="Q393">
        <v>43.229132515747089</v>
      </c>
      <c r="R393">
        <v>0.60090469580201999</v>
      </c>
      <c r="S393">
        <v>1.927712366260819E-3</v>
      </c>
      <c r="T393">
        <v>0.69</v>
      </c>
      <c r="U393">
        <v>0</v>
      </c>
      <c r="V393">
        <v>32.775925287028222</v>
      </c>
    </row>
    <row r="394" spans="1:22" x14ac:dyDescent="0.35">
      <c r="A394" t="s">
        <v>99</v>
      </c>
      <c r="B394" t="s">
        <v>4</v>
      </c>
      <c r="C394" t="s">
        <v>9</v>
      </c>
      <c r="D394">
        <v>0.61</v>
      </c>
      <c r="E394" t="s">
        <v>35</v>
      </c>
      <c r="F394" t="s">
        <v>34</v>
      </c>
      <c r="G394">
        <v>1</v>
      </c>
      <c r="H394">
        <v>714.32960000000003</v>
      </c>
      <c r="I394" t="s">
        <v>50</v>
      </c>
      <c r="J394" s="1">
        <v>44623</v>
      </c>
      <c r="K394">
        <v>56.082397254342297</v>
      </c>
      <c r="L394" s="1">
        <v>44634</v>
      </c>
      <c r="M394" s="1">
        <v>44639</v>
      </c>
      <c r="N394">
        <v>729.07116430644896</v>
      </c>
      <c r="O394">
        <v>5</v>
      </c>
      <c r="P394" t="str">
        <f>IF(Table1[[#This Row],[Delivery Delay]]&gt;0,"Late","On Time")</f>
        <v>Late</v>
      </c>
      <c r="Q394">
        <v>56.082397254342226</v>
      </c>
      <c r="R394">
        <v>0.35451135342190776</v>
      </c>
      <c r="S394">
        <v>1.3716082173559562E-3</v>
      </c>
      <c r="T394">
        <v>0.61</v>
      </c>
      <c r="U394">
        <v>0</v>
      </c>
      <c r="V394">
        <v>25.431375314958832</v>
      </c>
    </row>
    <row r="395" spans="1:22" x14ac:dyDescent="0.35">
      <c r="A395" t="s">
        <v>103</v>
      </c>
      <c r="B395" t="s">
        <v>4</v>
      </c>
      <c r="C395" t="s">
        <v>9</v>
      </c>
      <c r="D395">
        <v>0.94</v>
      </c>
      <c r="E395" t="s">
        <v>38</v>
      </c>
      <c r="F395" t="s">
        <v>39</v>
      </c>
      <c r="G395">
        <v>0</v>
      </c>
      <c r="H395">
        <v>124.6698</v>
      </c>
      <c r="I395" t="s">
        <v>49</v>
      </c>
      <c r="J395" s="1">
        <v>44541</v>
      </c>
      <c r="K395">
        <v>70.787545401240607</v>
      </c>
      <c r="L395" s="1">
        <v>44555</v>
      </c>
      <c r="M395" s="1">
        <v>44556</v>
      </c>
      <c r="N395">
        <v>637.08790861116495</v>
      </c>
      <c r="O395">
        <v>1</v>
      </c>
      <c r="P395" t="str">
        <f>IF(Table1[[#This Row],[Delivery Delay]]&gt;0,"Late","On Time")</f>
        <v>Late</v>
      </c>
      <c r="Q395">
        <v>70.78754540124055</v>
      </c>
      <c r="R395">
        <v>6.6622034587937209E-2</v>
      </c>
      <c r="S395">
        <v>1.5696420956724387E-3</v>
      </c>
      <c r="T395">
        <v>0.94</v>
      </c>
      <c r="U395">
        <v>1</v>
      </c>
      <c r="V395">
        <v>49.579529954628917</v>
      </c>
    </row>
    <row r="396" spans="1:22" x14ac:dyDescent="0.35">
      <c r="A396" t="s">
        <v>104</v>
      </c>
      <c r="B396" t="s">
        <v>6</v>
      </c>
      <c r="C396" t="s">
        <v>9</v>
      </c>
      <c r="D396">
        <v>0.61</v>
      </c>
      <c r="E396" t="s">
        <v>38</v>
      </c>
      <c r="F396" t="s">
        <v>34</v>
      </c>
      <c r="G396">
        <v>1</v>
      </c>
      <c r="H396">
        <v>574.81200000000001</v>
      </c>
      <c r="I396" t="s">
        <v>49</v>
      </c>
      <c r="J396" s="1">
        <v>44579</v>
      </c>
      <c r="K396">
        <v>48.731061104471898</v>
      </c>
      <c r="L396" s="1">
        <v>44592</v>
      </c>
      <c r="M396" s="1">
        <v>44590</v>
      </c>
      <c r="N396">
        <v>389.84848883577502</v>
      </c>
      <c r="O396">
        <v>-2</v>
      </c>
      <c r="P396" t="str">
        <f>IF(Table1[[#This Row],[Delivery Delay]]&gt;0,"Late","On Time")</f>
        <v>On Time</v>
      </c>
      <c r="Q396">
        <v>48.731061104471877</v>
      </c>
      <c r="R396">
        <v>0.41654492330168008</v>
      </c>
      <c r="S396">
        <v>2.5650990798665205E-3</v>
      </c>
      <c r="T396">
        <v>0.61</v>
      </c>
      <c r="U396">
        <v>0</v>
      </c>
      <c r="V396">
        <v>26.707851438429596</v>
      </c>
    </row>
    <row r="397" spans="1:22" x14ac:dyDescent="0.35">
      <c r="A397" t="s">
        <v>105</v>
      </c>
      <c r="B397" t="s">
        <v>8</v>
      </c>
      <c r="C397" t="s">
        <v>7</v>
      </c>
      <c r="D397">
        <v>0.94</v>
      </c>
      <c r="E397" t="s">
        <v>38</v>
      </c>
      <c r="F397" t="s">
        <v>34</v>
      </c>
      <c r="G397">
        <v>1</v>
      </c>
      <c r="H397">
        <v>632.09040000000005</v>
      </c>
      <c r="I397" t="s">
        <v>48</v>
      </c>
      <c r="J397" s="1">
        <v>45038</v>
      </c>
      <c r="K397">
        <v>67.796738370822695</v>
      </c>
      <c r="L397" s="1">
        <v>45061</v>
      </c>
      <c r="M397" s="1">
        <v>45067</v>
      </c>
      <c r="N397">
        <v>474.577168595758</v>
      </c>
      <c r="O397">
        <v>6</v>
      </c>
      <c r="P397" t="str">
        <f>IF(Table1[[#This Row],[Delivery Delay]]&gt;0,"Late","On Time")</f>
        <v>Late</v>
      </c>
      <c r="Q397">
        <v>67.796738370822567</v>
      </c>
      <c r="R397">
        <v>0.6303063808197279</v>
      </c>
      <c r="S397">
        <v>2.1071388726072366E-3</v>
      </c>
      <c r="T397">
        <v>0.94</v>
      </c>
      <c r="U397">
        <v>0</v>
      </c>
      <c r="V397">
        <v>40.869341782572768</v>
      </c>
    </row>
    <row r="398" spans="1:22" x14ac:dyDescent="0.35">
      <c r="A398" t="s">
        <v>106</v>
      </c>
      <c r="B398" t="s">
        <v>4</v>
      </c>
      <c r="C398" t="s">
        <v>9</v>
      </c>
      <c r="D398">
        <v>0.81</v>
      </c>
      <c r="E398" t="s">
        <v>35</v>
      </c>
      <c r="F398" t="s">
        <v>39</v>
      </c>
      <c r="G398">
        <v>0</v>
      </c>
      <c r="H398">
        <v>376.34699999999998</v>
      </c>
      <c r="I398" t="s">
        <v>47</v>
      </c>
      <c r="J398" s="1">
        <v>45204</v>
      </c>
      <c r="K398">
        <v>59.867278450142798</v>
      </c>
      <c r="L398" s="1">
        <v>45222</v>
      </c>
      <c r="M398" s="1">
        <v>45220</v>
      </c>
      <c r="N398">
        <v>898.00917675214203</v>
      </c>
      <c r="O398">
        <v>-2</v>
      </c>
      <c r="P398" t="str">
        <f>IF(Table1[[#This Row],[Delivery Delay]]&gt;0,"Late","On Time")</f>
        <v>On Time</v>
      </c>
      <c r="Q398">
        <v>59.867278450142798</v>
      </c>
      <c r="R398">
        <v>0.4263120513549547</v>
      </c>
      <c r="S398">
        <v>1.1135743663742183E-3</v>
      </c>
      <c r="T398">
        <v>0.81</v>
      </c>
      <c r="U398">
        <v>1</v>
      </c>
      <c r="V398">
        <v>52.859648258090317</v>
      </c>
    </row>
    <row r="399" spans="1:22" x14ac:dyDescent="0.35">
      <c r="A399" t="s">
        <v>108</v>
      </c>
      <c r="B399" t="s">
        <v>14</v>
      </c>
      <c r="C399" t="s">
        <v>9</v>
      </c>
      <c r="D399">
        <v>0.97</v>
      </c>
      <c r="E399" t="s">
        <v>38</v>
      </c>
      <c r="F399" t="s">
        <v>34</v>
      </c>
      <c r="G399">
        <v>1</v>
      </c>
      <c r="H399">
        <v>32.875999999999898</v>
      </c>
      <c r="I399" t="s">
        <v>46</v>
      </c>
      <c r="J399" s="1">
        <v>45245</v>
      </c>
      <c r="K399">
        <v>30.307510665518901</v>
      </c>
      <c r="L399" s="1">
        <v>45257</v>
      </c>
      <c r="M399" s="1">
        <v>45261</v>
      </c>
      <c r="N399">
        <v>272.76759598966999</v>
      </c>
      <c r="O399">
        <v>4</v>
      </c>
      <c r="P399" t="str">
        <f>IF(Table1[[#This Row],[Delivery Delay]]&gt;0,"Late","On Time")</f>
        <v>Late</v>
      </c>
      <c r="Q399">
        <v>30.307510665518887</v>
      </c>
      <c r="R399">
        <v>0.21469900604730818</v>
      </c>
      <c r="S399">
        <v>3.6661246229477752E-3</v>
      </c>
      <c r="T399">
        <v>0.97</v>
      </c>
      <c r="U399">
        <v>0</v>
      </c>
      <c r="V399">
        <v>33.503963859634602</v>
      </c>
    </row>
    <row r="400" spans="1:22" x14ac:dyDescent="0.35">
      <c r="A400" t="s">
        <v>107</v>
      </c>
      <c r="B400" t="s">
        <v>12</v>
      </c>
      <c r="C400" t="s">
        <v>7</v>
      </c>
      <c r="D400">
        <v>0.91</v>
      </c>
      <c r="E400" t="s">
        <v>38</v>
      </c>
      <c r="F400" t="s">
        <v>39</v>
      </c>
      <c r="G400">
        <v>0</v>
      </c>
      <c r="H400">
        <v>428.7056</v>
      </c>
      <c r="I400" t="s">
        <v>46</v>
      </c>
      <c r="J400" s="1">
        <v>44826</v>
      </c>
      <c r="K400">
        <v>65.230673540248503</v>
      </c>
      <c r="L400" s="1">
        <v>44843</v>
      </c>
      <c r="M400" s="1">
        <v>44848</v>
      </c>
      <c r="N400">
        <v>913.22942956348004</v>
      </c>
      <c r="O400">
        <v>5</v>
      </c>
      <c r="P400" t="str">
        <f>IF(Table1[[#This Row],[Delivery Delay]]&gt;0,"Late","On Time")</f>
        <v>Late</v>
      </c>
      <c r="Q400">
        <v>65.230673540248574</v>
      </c>
      <c r="R400">
        <v>0.49743892499828274</v>
      </c>
      <c r="S400">
        <v>1.0950150834254169E-3</v>
      </c>
      <c r="T400">
        <v>0.91</v>
      </c>
      <c r="U400">
        <v>1</v>
      </c>
      <c r="V400">
        <v>57.281628952468424</v>
      </c>
    </row>
    <row r="401" spans="1:22" x14ac:dyDescent="0.35">
      <c r="A401" t="s">
        <v>100</v>
      </c>
      <c r="B401" t="s">
        <v>10</v>
      </c>
      <c r="C401" t="s">
        <v>9</v>
      </c>
      <c r="D401">
        <v>0.99</v>
      </c>
      <c r="E401" t="s">
        <v>38</v>
      </c>
      <c r="F401" t="s">
        <v>34</v>
      </c>
      <c r="G401">
        <v>1</v>
      </c>
      <c r="H401">
        <v>228.44</v>
      </c>
      <c r="I401" t="s">
        <v>45</v>
      </c>
      <c r="J401" s="1">
        <v>44257</v>
      </c>
      <c r="K401">
        <v>32.0403734948828</v>
      </c>
      <c r="L401" s="1">
        <v>44274</v>
      </c>
      <c r="M401" s="1">
        <v>44275</v>
      </c>
      <c r="N401">
        <v>256.322987959062</v>
      </c>
      <c r="O401">
        <v>1</v>
      </c>
      <c r="P401" t="str">
        <f>IF(Table1[[#This Row],[Delivery Delay]]&gt;0,"Late","On Time")</f>
        <v>Late</v>
      </c>
      <c r="Q401">
        <v>32.040373494882751</v>
      </c>
      <c r="R401">
        <v>0.35410466269841268</v>
      </c>
      <c r="S401">
        <v>3.9013278050570809E-3</v>
      </c>
      <c r="T401">
        <v>0.99</v>
      </c>
      <c r="U401">
        <v>0</v>
      </c>
      <c r="V401">
        <v>36.89913308811996</v>
      </c>
    </row>
    <row r="402" spans="1:22" x14ac:dyDescent="0.35">
      <c r="A402" t="s">
        <v>101</v>
      </c>
      <c r="B402" t="s">
        <v>4</v>
      </c>
      <c r="C402" t="s">
        <v>5</v>
      </c>
      <c r="D402">
        <v>0.75</v>
      </c>
      <c r="E402" t="s">
        <v>36</v>
      </c>
      <c r="F402" t="s">
        <v>34</v>
      </c>
      <c r="G402">
        <v>1</v>
      </c>
      <c r="H402">
        <v>390.634199999999</v>
      </c>
      <c r="I402" t="s">
        <v>50</v>
      </c>
      <c r="J402" s="1">
        <v>44238</v>
      </c>
      <c r="K402">
        <v>35.416169256607702</v>
      </c>
      <c r="L402" s="1">
        <v>44257</v>
      </c>
      <c r="M402" s="1">
        <v>44254</v>
      </c>
      <c r="N402">
        <v>247.913184796254</v>
      </c>
      <c r="O402">
        <v>-3</v>
      </c>
      <c r="P402" t="str">
        <f>IF(Table1[[#This Row],[Delivery Delay]]&gt;0,"Late","On Time")</f>
        <v>On Time</v>
      </c>
      <c r="Q402">
        <v>35.416169256607716</v>
      </c>
      <c r="R402">
        <v>0.62991881434695751</v>
      </c>
      <c r="S402">
        <v>4.0336700963357159E-3</v>
      </c>
      <c r="T402">
        <v>0.75</v>
      </c>
      <c r="U402">
        <v>0</v>
      </c>
      <c r="V402">
        <v>35.219386389829225</v>
      </c>
    </row>
    <row r="403" spans="1:22" x14ac:dyDescent="0.35">
      <c r="A403" t="s">
        <v>102</v>
      </c>
      <c r="B403" t="s">
        <v>6</v>
      </c>
      <c r="C403" t="s">
        <v>7</v>
      </c>
      <c r="D403">
        <v>0.8</v>
      </c>
      <c r="E403" t="s">
        <v>37</v>
      </c>
      <c r="F403" t="s">
        <v>39</v>
      </c>
      <c r="G403">
        <v>0</v>
      </c>
      <c r="H403">
        <v>62.891999999999904</v>
      </c>
      <c r="I403" t="s">
        <v>47</v>
      </c>
      <c r="J403" s="1">
        <v>44892</v>
      </c>
      <c r="K403">
        <v>61.017263315012897</v>
      </c>
      <c r="L403" s="1">
        <v>44912</v>
      </c>
      <c r="M403" s="1">
        <v>44910</v>
      </c>
      <c r="N403">
        <v>671.18989646514206</v>
      </c>
      <c r="O403">
        <v>-2</v>
      </c>
      <c r="P403" t="str">
        <f>IF(Table1[[#This Row],[Delivery Delay]]&gt;0,"Late","On Time")</f>
        <v>On Time</v>
      </c>
      <c r="Q403">
        <v>61.017263315012912</v>
      </c>
      <c r="R403">
        <v>0.13535290927403715</v>
      </c>
      <c r="S403">
        <v>1.489891318785569E-3</v>
      </c>
      <c r="T403">
        <v>0.8</v>
      </c>
      <c r="U403">
        <v>1</v>
      </c>
      <c r="V403">
        <v>46.751754925044317</v>
      </c>
    </row>
    <row r="404" spans="1:22" x14ac:dyDescent="0.35">
      <c r="A404" t="s">
        <v>99</v>
      </c>
      <c r="B404" t="s">
        <v>8</v>
      </c>
      <c r="C404" t="s">
        <v>9</v>
      </c>
      <c r="D404">
        <v>0.62</v>
      </c>
      <c r="E404" t="s">
        <v>36</v>
      </c>
      <c r="F404" t="s">
        <v>34</v>
      </c>
      <c r="G404">
        <v>1</v>
      </c>
      <c r="H404">
        <v>678.80119999999897</v>
      </c>
      <c r="I404" t="s">
        <v>45</v>
      </c>
      <c r="J404" s="1">
        <v>44453</v>
      </c>
      <c r="K404">
        <v>55.105789294433897</v>
      </c>
      <c r="L404" s="1">
        <v>44476</v>
      </c>
      <c r="M404" s="1">
        <v>44480</v>
      </c>
      <c r="N404">
        <v>440.84631435547101</v>
      </c>
      <c r="O404">
        <v>4</v>
      </c>
      <c r="P404" t="str">
        <f>IF(Table1[[#This Row],[Delivery Delay]]&gt;0,"Late","On Time")</f>
        <v>Late</v>
      </c>
      <c r="Q404">
        <v>55.105789294433876</v>
      </c>
      <c r="R404">
        <v>0.69170763440890859</v>
      </c>
      <c r="S404">
        <v>2.2683642063834118E-3</v>
      </c>
      <c r="T404">
        <v>0.62</v>
      </c>
      <c r="U404">
        <v>0</v>
      </c>
      <c r="V404">
        <v>32.502203614369677</v>
      </c>
    </row>
    <row r="405" spans="1:22" x14ac:dyDescent="0.35">
      <c r="A405" t="s">
        <v>103</v>
      </c>
      <c r="B405" t="s">
        <v>4</v>
      </c>
      <c r="C405" t="s">
        <v>9</v>
      </c>
      <c r="D405">
        <v>0.66</v>
      </c>
      <c r="E405" t="s">
        <v>38</v>
      </c>
      <c r="F405" t="s">
        <v>39</v>
      </c>
      <c r="G405">
        <v>0</v>
      </c>
      <c r="H405">
        <v>552.04959999999903</v>
      </c>
      <c r="I405" t="s">
        <v>50</v>
      </c>
      <c r="J405" s="1">
        <v>45293</v>
      </c>
      <c r="K405">
        <v>27.988363504056998</v>
      </c>
      <c r="L405" s="1">
        <v>45307</v>
      </c>
      <c r="M405" s="1">
        <v>45310</v>
      </c>
      <c r="N405">
        <v>279.88363504057003</v>
      </c>
      <c r="O405">
        <v>3</v>
      </c>
      <c r="P405" t="str">
        <f>IF(Table1[[#This Row],[Delivery Delay]]&gt;0,"Late","On Time")</f>
        <v>Late</v>
      </c>
      <c r="Q405">
        <v>27.988363504057002</v>
      </c>
      <c r="R405">
        <v>0.67138932022587761</v>
      </c>
      <c r="S405">
        <v>3.5729134354534407E-3</v>
      </c>
      <c r="T405">
        <v>0.66</v>
      </c>
      <c r="U405">
        <v>1</v>
      </c>
      <c r="V405">
        <v>53.334973807581164</v>
      </c>
    </row>
    <row r="406" spans="1:22" x14ac:dyDescent="0.35">
      <c r="A406" t="s">
        <v>104</v>
      </c>
      <c r="B406" t="s">
        <v>10</v>
      </c>
      <c r="C406" t="s">
        <v>9</v>
      </c>
      <c r="D406">
        <v>0.89</v>
      </c>
      <c r="E406" t="s">
        <v>37</v>
      </c>
      <c r="F406" t="s">
        <v>34</v>
      </c>
      <c r="G406">
        <v>1</v>
      </c>
      <c r="H406">
        <v>-3.1046999999999798</v>
      </c>
      <c r="I406" t="s">
        <v>49</v>
      </c>
      <c r="J406" s="1">
        <v>44801</v>
      </c>
      <c r="K406">
        <v>10.610803977676399</v>
      </c>
      <c r="L406" s="1">
        <v>44817</v>
      </c>
      <c r="M406" s="1">
        <v>44822</v>
      </c>
      <c r="N406">
        <v>148.55125568746999</v>
      </c>
      <c r="O406">
        <v>5</v>
      </c>
      <c r="P406" t="str">
        <f>IF(Table1[[#This Row],[Delivery Delay]]&gt;0,"Late","On Time")</f>
        <v>Late</v>
      </c>
      <c r="Q406">
        <v>10.610803977676428</v>
      </c>
      <c r="R406">
        <v>0</v>
      </c>
      <c r="S406">
        <v>6.7316832521688878E-3</v>
      </c>
      <c r="T406">
        <v>0.89</v>
      </c>
      <c r="U406">
        <v>0</v>
      </c>
      <c r="V406">
        <v>26.901950497565068</v>
      </c>
    </row>
    <row r="407" spans="1:22" x14ac:dyDescent="0.35">
      <c r="A407" t="s">
        <v>105</v>
      </c>
      <c r="B407" t="s">
        <v>4</v>
      </c>
      <c r="C407" t="s">
        <v>11</v>
      </c>
      <c r="D407">
        <v>0.63</v>
      </c>
      <c r="E407" t="s">
        <v>38</v>
      </c>
      <c r="F407" t="s">
        <v>34</v>
      </c>
      <c r="G407">
        <v>1</v>
      </c>
      <c r="H407">
        <v>79.132000000000005</v>
      </c>
      <c r="I407" t="s">
        <v>45</v>
      </c>
      <c r="J407" s="1">
        <v>45149</v>
      </c>
      <c r="K407">
        <v>77.352644353048703</v>
      </c>
      <c r="L407" s="1">
        <v>45172</v>
      </c>
      <c r="M407" s="1">
        <v>45170</v>
      </c>
      <c r="N407">
        <v>1160.2896652957299</v>
      </c>
      <c r="O407">
        <v>-2</v>
      </c>
      <c r="P407" t="str">
        <f>IF(Table1[[#This Row],[Delivery Delay]]&gt;0,"Late","On Time")</f>
        <v>On Time</v>
      </c>
      <c r="Q407">
        <v>77.35264435304866</v>
      </c>
      <c r="R407">
        <v>0.23819729570274406</v>
      </c>
      <c r="S407">
        <v>8.6185375075725084E-4</v>
      </c>
      <c r="T407">
        <v>0.63</v>
      </c>
      <c r="U407">
        <v>0</v>
      </c>
      <c r="V407">
        <v>23.6898015265776</v>
      </c>
    </row>
    <row r="408" spans="1:22" x14ac:dyDescent="0.35">
      <c r="A408" t="s">
        <v>106</v>
      </c>
      <c r="B408" t="s">
        <v>6</v>
      </c>
      <c r="C408" t="s">
        <v>11</v>
      </c>
      <c r="D408">
        <v>0.84</v>
      </c>
      <c r="E408" t="s">
        <v>37</v>
      </c>
      <c r="F408" t="s">
        <v>39</v>
      </c>
      <c r="G408">
        <v>0</v>
      </c>
      <c r="H408">
        <v>721.21799999999996</v>
      </c>
      <c r="I408" t="s">
        <v>45</v>
      </c>
      <c r="J408" s="1">
        <v>45018</v>
      </c>
      <c r="K408">
        <v>51.314846522385203</v>
      </c>
      <c r="L408" s="1">
        <v>45041</v>
      </c>
      <c r="M408" s="1">
        <v>45040</v>
      </c>
      <c r="N408">
        <v>307.88907913431098</v>
      </c>
      <c r="O408">
        <v>-1</v>
      </c>
      <c r="P408" t="str">
        <f>IF(Table1[[#This Row],[Delivery Delay]]&gt;0,"Late","On Time")</f>
        <v>On Time</v>
      </c>
      <c r="Q408">
        <v>51.31484652238516</v>
      </c>
      <c r="R408">
        <v>0.74543109275486341</v>
      </c>
      <c r="S408">
        <v>3.2479229299450674E-3</v>
      </c>
      <c r="T408">
        <v>0.84</v>
      </c>
      <c r="U408">
        <v>1</v>
      </c>
      <c r="V408">
        <v>60.206059542995625</v>
      </c>
    </row>
    <row r="409" spans="1:22" x14ac:dyDescent="0.35">
      <c r="A409" t="s">
        <v>108</v>
      </c>
      <c r="B409" t="s">
        <v>4</v>
      </c>
      <c r="C409" t="s">
        <v>9</v>
      </c>
      <c r="D409">
        <v>0.7</v>
      </c>
      <c r="E409" t="s">
        <v>36</v>
      </c>
      <c r="F409" t="s">
        <v>39</v>
      </c>
      <c r="G409">
        <v>0</v>
      </c>
      <c r="H409">
        <v>286.923599999999</v>
      </c>
      <c r="I409" t="s">
        <v>50</v>
      </c>
      <c r="J409" s="1">
        <v>44707</v>
      </c>
      <c r="K409">
        <v>66.462026420324094</v>
      </c>
      <c r="L409" s="1">
        <v>44719</v>
      </c>
      <c r="M409" s="1">
        <v>44716</v>
      </c>
      <c r="N409">
        <v>731.082290623566</v>
      </c>
      <c r="O409">
        <v>-3</v>
      </c>
      <c r="P409" t="str">
        <f>IF(Table1[[#This Row],[Delivery Delay]]&gt;0,"Late","On Time")</f>
        <v>On Time</v>
      </c>
      <c r="Q409">
        <v>66.462026420324179</v>
      </c>
      <c r="R409">
        <v>0.23444849404767076</v>
      </c>
      <c r="S409">
        <v>1.3678350752376516E-3</v>
      </c>
      <c r="T409">
        <v>0.7</v>
      </c>
      <c r="U409">
        <v>1</v>
      </c>
      <c r="V409">
        <v>45.730004933210544</v>
      </c>
    </row>
    <row r="410" spans="1:22" x14ac:dyDescent="0.35">
      <c r="A410" t="s">
        <v>102</v>
      </c>
      <c r="B410" t="s">
        <v>6</v>
      </c>
      <c r="C410" t="s">
        <v>9</v>
      </c>
      <c r="D410">
        <v>0.75</v>
      </c>
      <c r="E410" t="s">
        <v>37</v>
      </c>
      <c r="F410" t="s">
        <v>34</v>
      </c>
      <c r="G410">
        <v>1</v>
      </c>
      <c r="H410">
        <v>-28.345599999999902</v>
      </c>
      <c r="I410" t="s">
        <v>46</v>
      </c>
      <c r="J410" s="1">
        <v>44850</v>
      </c>
      <c r="K410">
        <v>4.0277316945545198</v>
      </c>
      <c r="L410" s="1">
        <v>44868</v>
      </c>
      <c r="M410" s="1">
        <v>44870</v>
      </c>
      <c r="N410">
        <v>16.110926778218101</v>
      </c>
      <c r="O410">
        <v>2</v>
      </c>
      <c r="P410" t="str">
        <f>IF(Table1[[#This Row],[Delivery Delay]]&gt;0,"Late","On Time")</f>
        <v>Late</v>
      </c>
      <c r="Q410">
        <v>4.0277316945545252</v>
      </c>
      <c r="R410">
        <v>0</v>
      </c>
      <c r="S410">
        <v>6.2069675678248094E-2</v>
      </c>
      <c r="T410">
        <v>0.75</v>
      </c>
      <c r="U410">
        <v>0</v>
      </c>
      <c r="V410">
        <v>24.362090270347441</v>
      </c>
    </row>
    <row r="411" spans="1:22" x14ac:dyDescent="0.35">
      <c r="A411" t="s">
        <v>99</v>
      </c>
      <c r="B411" t="s">
        <v>12</v>
      </c>
      <c r="C411" t="s">
        <v>9</v>
      </c>
      <c r="D411">
        <v>0.71</v>
      </c>
      <c r="E411" t="s">
        <v>37</v>
      </c>
      <c r="F411" t="s">
        <v>34</v>
      </c>
      <c r="G411">
        <v>1</v>
      </c>
      <c r="H411">
        <v>846.7328</v>
      </c>
      <c r="I411" t="s">
        <v>49</v>
      </c>
      <c r="J411" s="1">
        <v>44232</v>
      </c>
      <c r="K411">
        <v>14.622981918470201</v>
      </c>
      <c r="L411" s="1">
        <v>44244</v>
      </c>
      <c r="M411" s="1">
        <v>44250</v>
      </c>
      <c r="N411">
        <v>102.360873429292</v>
      </c>
      <c r="O411">
        <v>6</v>
      </c>
      <c r="P411" t="str">
        <f>IF(Table1[[#This Row],[Delivery Delay]]&gt;0,"Late","On Time")</f>
        <v>Late</v>
      </c>
      <c r="Q411">
        <v>14.622981918470286</v>
      </c>
      <c r="R411">
        <v>0.45163591799671948</v>
      </c>
      <c r="S411">
        <v>9.7693578268533612E-3</v>
      </c>
      <c r="T411">
        <v>0.71</v>
      </c>
      <c r="U411">
        <v>0</v>
      </c>
      <c r="V411">
        <v>30.625799094739993</v>
      </c>
    </row>
    <row r="412" spans="1:22" x14ac:dyDescent="0.35">
      <c r="A412" t="s">
        <v>103</v>
      </c>
      <c r="B412" t="s">
        <v>13</v>
      </c>
      <c r="C412" t="s">
        <v>11</v>
      </c>
      <c r="D412">
        <v>0.74</v>
      </c>
      <c r="E412" t="s">
        <v>37</v>
      </c>
      <c r="F412" t="s">
        <v>39</v>
      </c>
      <c r="G412">
        <v>0</v>
      </c>
      <c r="H412">
        <v>246.52080000000001</v>
      </c>
      <c r="I412" t="s">
        <v>50</v>
      </c>
      <c r="J412" s="1">
        <v>44994</v>
      </c>
      <c r="K412">
        <v>32.039550811405697</v>
      </c>
      <c r="L412" s="1">
        <v>45018</v>
      </c>
      <c r="M412" s="1">
        <v>45019</v>
      </c>
      <c r="N412">
        <v>256.31640649124603</v>
      </c>
      <c r="O412">
        <v>1</v>
      </c>
      <c r="P412" t="str">
        <f>IF(Table1[[#This Row],[Delivery Delay]]&gt;0,"Late","On Time")</f>
        <v>Late</v>
      </c>
      <c r="Q412">
        <v>32.039550811405753</v>
      </c>
      <c r="R412">
        <v>0.50946596765153729</v>
      </c>
      <c r="S412">
        <v>3.9014279799297709E-3</v>
      </c>
      <c r="T412">
        <v>0.74</v>
      </c>
      <c r="U412">
        <v>1</v>
      </c>
      <c r="V412">
        <v>52.506362192428632</v>
      </c>
    </row>
    <row r="413" spans="1:22" x14ac:dyDescent="0.35">
      <c r="A413" t="s">
        <v>104</v>
      </c>
      <c r="B413" t="s">
        <v>6</v>
      </c>
      <c r="C413" t="s">
        <v>11</v>
      </c>
      <c r="D413">
        <v>0.88</v>
      </c>
      <c r="E413" t="s">
        <v>37</v>
      </c>
      <c r="F413" t="s">
        <v>34</v>
      </c>
      <c r="G413">
        <v>1</v>
      </c>
      <c r="H413">
        <v>352.53480000000002</v>
      </c>
      <c r="I413" t="s">
        <v>49</v>
      </c>
      <c r="J413" s="1">
        <v>45188</v>
      </c>
      <c r="K413">
        <v>5.7234883675024602</v>
      </c>
      <c r="L413" s="1">
        <v>45202</v>
      </c>
      <c r="M413" s="1">
        <v>45203</v>
      </c>
      <c r="N413">
        <v>22.893953470009802</v>
      </c>
      <c r="O413">
        <v>1</v>
      </c>
      <c r="P413" t="str">
        <f>IF(Table1[[#This Row],[Delivery Delay]]&gt;0,"Late","On Time")</f>
        <v>Late</v>
      </c>
      <c r="Q413">
        <v>5.7234883675024504</v>
      </c>
      <c r="R413">
        <v>0.23792030800653399</v>
      </c>
      <c r="S413">
        <v>4.3679655473658645E-2</v>
      </c>
      <c r="T413">
        <v>0.88</v>
      </c>
      <c r="U413">
        <v>0</v>
      </c>
      <c r="V413">
        <v>32.46879582434044</v>
      </c>
    </row>
    <row r="414" spans="1:22" x14ac:dyDescent="0.35">
      <c r="A414" t="s">
        <v>105</v>
      </c>
      <c r="B414" t="s">
        <v>6</v>
      </c>
      <c r="C414" t="s">
        <v>9</v>
      </c>
      <c r="D414">
        <v>0.72</v>
      </c>
      <c r="E414" t="s">
        <v>36</v>
      </c>
      <c r="F414" t="s">
        <v>34</v>
      </c>
      <c r="G414">
        <v>1</v>
      </c>
      <c r="H414">
        <v>394.62</v>
      </c>
      <c r="I414" t="s">
        <v>49</v>
      </c>
      <c r="J414" s="1">
        <v>45118</v>
      </c>
      <c r="K414">
        <v>31.131860156182501</v>
      </c>
      <c r="L414" s="1">
        <v>45136</v>
      </c>
      <c r="M414" s="1">
        <v>45138</v>
      </c>
      <c r="N414">
        <v>342.45046171800698</v>
      </c>
      <c r="O414">
        <v>2</v>
      </c>
      <c r="P414" t="str">
        <f>IF(Table1[[#This Row],[Delivery Delay]]&gt;0,"Late","On Time")</f>
        <v>Late</v>
      </c>
      <c r="Q414">
        <v>31.131860156182452</v>
      </c>
      <c r="R414">
        <v>0.41592799097779232</v>
      </c>
      <c r="S414">
        <v>2.9201303890296882E-3</v>
      </c>
      <c r="T414">
        <v>0.72</v>
      </c>
      <c r="U414">
        <v>0</v>
      </c>
      <c r="V414">
        <v>30.006163731226739</v>
      </c>
    </row>
    <row r="415" spans="1:22" x14ac:dyDescent="0.35">
      <c r="A415" t="s">
        <v>106</v>
      </c>
      <c r="B415" t="s">
        <v>14</v>
      </c>
      <c r="C415" t="s">
        <v>5</v>
      </c>
      <c r="D415">
        <v>0.82</v>
      </c>
      <c r="E415" t="s">
        <v>35</v>
      </c>
      <c r="F415" t="s">
        <v>34</v>
      </c>
      <c r="G415">
        <v>1</v>
      </c>
      <c r="H415">
        <v>87.453599999999994</v>
      </c>
      <c r="I415" t="s">
        <v>45</v>
      </c>
      <c r="J415" s="1">
        <v>44460</v>
      </c>
      <c r="K415">
        <v>77.253559523791097</v>
      </c>
      <c r="L415" s="1">
        <v>44476</v>
      </c>
      <c r="M415" s="1">
        <v>44478</v>
      </c>
      <c r="N415">
        <v>849.78915476170198</v>
      </c>
      <c r="O415">
        <v>2</v>
      </c>
      <c r="P415" t="str">
        <f>IF(Table1[[#This Row],[Delivery Delay]]&gt;0,"Late","On Time")</f>
        <v>Late</v>
      </c>
      <c r="Q415">
        <v>77.253559523791083</v>
      </c>
      <c r="R415">
        <v>8.2677049228681826E-2</v>
      </c>
      <c r="S415">
        <v>1.1767624879614053E-3</v>
      </c>
      <c r="T415">
        <v>0.82</v>
      </c>
      <c r="U415">
        <v>0</v>
      </c>
      <c r="V415">
        <v>26.288843859212474</v>
      </c>
    </row>
    <row r="416" spans="1:22" x14ac:dyDescent="0.35">
      <c r="A416" t="s">
        <v>108</v>
      </c>
      <c r="B416" t="s">
        <v>6</v>
      </c>
      <c r="C416" t="s">
        <v>7</v>
      </c>
      <c r="D416">
        <v>0.79</v>
      </c>
      <c r="E416" t="s">
        <v>38</v>
      </c>
      <c r="F416" t="s">
        <v>34</v>
      </c>
      <c r="G416">
        <v>1</v>
      </c>
      <c r="H416">
        <v>413.21960000000001</v>
      </c>
      <c r="I416" t="s">
        <v>47</v>
      </c>
      <c r="J416" s="1">
        <v>44357</v>
      </c>
      <c r="K416">
        <v>40.693032047234801</v>
      </c>
      <c r="L416" s="1">
        <v>44369</v>
      </c>
      <c r="M416" s="1">
        <v>44371</v>
      </c>
      <c r="N416">
        <v>244.15819228340899</v>
      </c>
      <c r="O416">
        <v>2</v>
      </c>
      <c r="P416" t="str">
        <f>IF(Table1[[#This Row],[Delivery Delay]]&gt;0,"Late","On Time")</f>
        <v>Late</v>
      </c>
      <c r="Q416">
        <v>40.69303204723483</v>
      </c>
      <c r="R416">
        <v>0.89818710445342309</v>
      </c>
      <c r="S416">
        <v>4.0957052910976675E-3</v>
      </c>
      <c r="T416">
        <v>0.79</v>
      </c>
      <c r="U416">
        <v>0</v>
      </c>
      <c r="V416">
        <v>41.786613247801391</v>
      </c>
    </row>
    <row r="417" spans="1:22" x14ac:dyDescent="0.35">
      <c r="A417" t="s">
        <v>107</v>
      </c>
      <c r="B417" t="s">
        <v>6</v>
      </c>
      <c r="C417" t="s">
        <v>11</v>
      </c>
      <c r="D417">
        <v>0.86</v>
      </c>
      <c r="E417" t="s">
        <v>37</v>
      </c>
      <c r="F417" t="s">
        <v>34</v>
      </c>
      <c r="G417">
        <v>1</v>
      </c>
      <c r="H417">
        <v>129.53100000000001</v>
      </c>
      <c r="I417" t="s">
        <v>49</v>
      </c>
      <c r="J417" s="1">
        <v>44656</v>
      </c>
      <c r="K417">
        <v>13.6519436932261</v>
      </c>
      <c r="L417" s="1">
        <v>44678</v>
      </c>
      <c r="M417" s="1">
        <v>44678</v>
      </c>
      <c r="N417">
        <v>177.47526801193899</v>
      </c>
      <c r="O417">
        <v>0</v>
      </c>
      <c r="P417" t="str">
        <f>IF(Table1[[#This Row],[Delivery Delay]]&gt;0,"Late","On Time")</f>
        <v>On Time</v>
      </c>
      <c r="Q417">
        <v>13.651943693226077</v>
      </c>
      <c r="R417">
        <v>0.25440586387928138</v>
      </c>
      <c r="S417">
        <v>5.6345879130196815E-3</v>
      </c>
      <c r="T417">
        <v>0.86</v>
      </c>
      <c r="U417">
        <v>0</v>
      </c>
      <c r="V417">
        <v>31.05715491497622</v>
      </c>
    </row>
    <row r="418" spans="1:22" x14ac:dyDescent="0.35">
      <c r="A418" t="s">
        <v>100</v>
      </c>
      <c r="B418" t="s">
        <v>8</v>
      </c>
      <c r="C418" t="s">
        <v>11</v>
      </c>
      <c r="D418">
        <v>0.97</v>
      </c>
      <c r="E418" t="s">
        <v>37</v>
      </c>
      <c r="F418" t="s">
        <v>34</v>
      </c>
      <c r="G418">
        <v>1</v>
      </c>
      <c r="H418">
        <v>46.674799999999998</v>
      </c>
      <c r="I418" t="s">
        <v>48</v>
      </c>
      <c r="J418" s="1">
        <v>44443</v>
      </c>
      <c r="K418">
        <v>47.191802199832097</v>
      </c>
      <c r="L418" s="1">
        <v>44467</v>
      </c>
      <c r="M418" s="1">
        <v>44467</v>
      </c>
      <c r="N418">
        <v>660.68523079764896</v>
      </c>
      <c r="O418">
        <v>0</v>
      </c>
      <c r="P418" t="str">
        <f>IF(Table1[[#This Row],[Delivery Delay]]&gt;0,"Late","On Time")</f>
        <v>On Time</v>
      </c>
      <c r="Q418">
        <v>47.191802199832068</v>
      </c>
      <c r="R418">
        <v>0.11359306567033703</v>
      </c>
      <c r="S418">
        <v>1.5135800732108003E-3</v>
      </c>
      <c r="T418">
        <v>0.97</v>
      </c>
      <c r="U418">
        <v>0</v>
      </c>
      <c r="V418">
        <v>31.417268715603065</v>
      </c>
    </row>
    <row r="419" spans="1:22" x14ac:dyDescent="0.35">
      <c r="A419" t="s">
        <v>101</v>
      </c>
      <c r="B419" t="s">
        <v>13</v>
      </c>
      <c r="C419" t="s">
        <v>5</v>
      </c>
      <c r="D419">
        <v>0.89</v>
      </c>
      <c r="E419" t="s">
        <v>37</v>
      </c>
      <c r="F419" t="s">
        <v>34</v>
      </c>
      <c r="G419">
        <v>1</v>
      </c>
      <c r="H419">
        <v>215.123999999999</v>
      </c>
      <c r="I419" t="s">
        <v>45</v>
      </c>
      <c r="J419" s="1">
        <v>44681</v>
      </c>
      <c r="K419">
        <v>61.049482652379297</v>
      </c>
      <c r="L419" s="1">
        <v>44695</v>
      </c>
      <c r="M419" s="1">
        <v>44699</v>
      </c>
      <c r="N419">
        <v>915.74223978568898</v>
      </c>
      <c r="O419">
        <v>4</v>
      </c>
      <c r="P419" t="str">
        <f>IF(Table1[[#This Row],[Delivery Delay]]&gt;0,"Late","On Time")</f>
        <v>Late</v>
      </c>
      <c r="Q419">
        <v>61.049482652379268</v>
      </c>
      <c r="R419">
        <v>0.36587332092915564</v>
      </c>
      <c r="S419">
        <v>1.0920103458742167E-3</v>
      </c>
      <c r="T419">
        <v>0.89</v>
      </c>
      <c r="U419">
        <v>0</v>
      </c>
      <c r="V419">
        <v>34.050226728959345</v>
      </c>
    </row>
    <row r="420" spans="1:22" x14ac:dyDescent="0.35">
      <c r="A420" t="s">
        <v>102</v>
      </c>
      <c r="B420" t="s">
        <v>12</v>
      </c>
      <c r="C420" t="s">
        <v>5</v>
      </c>
      <c r="D420">
        <v>0.68</v>
      </c>
      <c r="E420" t="s">
        <v>36</v>
      </c>
      <c r="F420" t="s">
        <v>39</v>
      </c>
      <c r="G420">
        <v>0</v>
      </c>
      <c r="H420">
        <v>196.928</v>
      </c>
      <c r="I420" t="s">
        <v>46</v>
      </c>
      <c r="J420" s="1">
        <v>44478</v>
      </c>
      <c r="K420">
        <v>54.3455422653957</v>
      </c>
      <c r="L420" s="1">
        <v>44490</v>
      </c>
      <c r="M420" s="1">
        <v>44487</v>
      </c>
      <c r="N420">
        <v>543.45542265395704</v>
      </c>
      <c r="O420">
        <v>-3</v>
      </c>
      <c r="P420" t="str">
        <f>IF(Table1[[#This Row],[Delivery Delay]]&gt;0,"Late","On Time")</f>
        <v>On Time</v>
      </c>
      <c r="Q420">
        <v>54.345542265395707</v>
      </c>
      <c r="R420">
        <v>0.48119477676127925</v>
      </c>
      <c r="S420">
        <v>1.8400773243121098E-3</v>
      </c>
      <c r="T420">
        <v>0.68</v>
      </c>
      <c r="U420">
        <v>1</v>
      </c>
      <c r="V420">
        <v>50.079097854954945</v>
      </c>
    </row>
    <row r="421" spans="1:22" x14ac:dyDescent="0.35">
      <c r="A421" t="s">
        <v>99</v>
      </c>
      <c r="B421" t="s">
        <v>10</v>
      </c>
      <c r="C421" t="s">
        <v>9</v>
      </c>
      <c r="D421">
        <v>0.61</v>
      </c>
      <c r="E421" t="s">
        <v>38</v>
      </c>
      <c r="F421" t="s">
        <v>34</v>
      </c>
      <c r="G421">
        <v>1</v>
      </c>
      <c r="H421">
        <v>-171.06699999999901</v>
      </c>
      <c r="I421" t="s">
        <v>47</v>
      </c>
      <c r="J421" s="1">
        <v>44864</v>
      </c>
      <c r="K421">
        <v>47.746025803366699</v>
      </c>
      <c r="L421" s="1">
        <v>44879</v>
      </c>
      <c r="M421" s="1">
        <v>44883</v>
      </c>
      <c r="N421">
        <v>572.95230964040002</v>
      </c>
      <c r="O421">
        <v>4</v>
      </c>
      <c r="P421" t="str">
        <f>IF(Table1[[#This Row],[Delivery Delay]]&gt;0,"Late","On Time")</f>
        <v>Late</v>
      </c>
      <c r="Q421">
        <v>47.74602580336667</v>
      </c>
      <c r="R421">
        <v>0</v>
      </c>
      <c r="S421">
        <v>1.7453459619136999E-3</v>
      </c>
      <c r="T421">
        <v>0.61</v>
      </c>
      <c r="U421">
        <v>0</v>
      </c>
      <c r="V421">
        <v>18.352360378857409</v>
      </c>
    </row>
    <row r="422" spans="1:22" x14ac:dyDescent="0.35">
      <c r="A422" t="s">
        <v>103</v>
      </c>
      <c r="B422" t="s">
        <v>14</v>
      </c>
      <c r="C422" t="s">
        <v>9</v>
      </c>
      <c r="D422">
        <v>0.7</v>
      </c>
      <c r="E422" t="s">
        <v>36</v>
      </c>
      <c r="F422" t="s">
        <v>34</v>
      </c>
      <c r="G422">
        <v>1</v>
      </c>
      <c r="H422">
        <v>-73.644000000000105</v>
      </c>
      <c r="I422" t="s">
        <v>48</v>
      </c>
      <c r="J422" s="1">
        <v>44293</v>
      </c>
      <c r="K422">
        <v>40.3484069264724</v>
      </c>
      <c r="L422" s="1">
        <v>44314</v>
      </c>
      <c r="M422" s="1">
        <v>44319</v>
      </c>
      <c r="N422">
        <v>564.87769697061299</v>
      </c>
      <c r="O422">
        <v>5</v>
      </c>
      <c r="P422" t="str">
        <f>IF(Table1[[#This Row],[Delivery Delay]]&gt;0,"Late","On Time")</f>
        <v>Late</v>
      </c>
      <c r="Q422">
        <v>40.348406926472357</v>
      </c>
      <c r="R422">
        <v>0</v>
      </c>
      <c r="S422">
        <v>1.7702947122233855E-3</v>
      </c>
      <c r="T422">
        <v>0.7</v>
      </c>
      <c r="U422">
        <v>0</v>
      </c>
      <c r="V422">
        <v>21.053108841366701</v>
      </c>
    </row>
    <row r="423" spans="1:22" x14ac:dyDescent="0.35">
      <c r="A423" t="s">
        <v>104</v>
      </c>
      <c r="B423" t="s">
        <v>8</v>
      </c>
      <c r="C423" t="s">
        <v>7</v>
      </c>
      <c r="D423">
        <v>0.83</v>
      </c>
      <c r="E423" t="s">
        <v>36</v>
      </c>
      <c r="F423" t="s">
        <v>34</v>
      </c>
      <c r="G423">
        <v>1</v>
      </c>
      <c r="H423">
        <v>165.61019999999999</v>
      </c>
      <c r="I423" t="s">
        <v>48</v>
      </c>
      <c r="J423" s="1">
        <v>44402</v>
      </c>
      <c r="K423">
        <v>49.6114287246155</v>
      </c>
      <c r="L423" s="1">
        <v>44415</v>
      </c>
      <c r="M423" s="1">
        <v>44419</v>
      </c>
      <c r="N423">
        <v>694.56000214461699</v>
      </c>
      <c r="O423">
        <v>4</v>
      </c>
      <c r="P423" t="str">
        <f>IF(Table1[[#This Row],[Delivery Delay]]&gt;0,"Late","On Time")</f>
        <v>Late</v>
      </c>
      <c r="Q423">
        <v>49.6114287246155</v>
      </c>
      <c r="R423">
        <v>0.64625798309686788</v>
      </c>
      <c r="S423">
        <v>1.4397604194198706E-3</v>
      </c>
      <c r="T423">
        <v>0.83</v>
      </c>
      <c r="U423">
        <v>0</v>
      </c>
      <c r="V423">
        <v>37.868352474519952</v>
      </c>
    </row>
    <row r="424" spans="1:22" x14ac:dyDescent="0.35">
      <c r="A424" t="s">
        <v>105</v>
      </c>
      <c r="B424" t="s">
        <v>15</v>
      </c>
      <c r="C424" t="s">
        <v>7</v>
      </c>
      <c r="D424">
        <v>0.62</v>
      </c>
      <c r="E424" t="s">
        <v>38</v>
      </c>
      <c r="F424" t="s">
        <v>34</v>
      </c>
      <c r="G424">
        <v>1</v>
      </c>
      <c r="H424">
        <v>148.49439999999899</v>
      </c>
      <c r="I424" t="s">
        <v>46</v>
      </c>
      <c r="J424" s="1">
        <v>44610</v>
      </c>
      <c r="K424">
        <v>12.269537144109099</v>
      </c>
      <c r="L424" s="1">
        <v>44625</v>
      </c>
      <c r="M424" s="1">
        <v>44626</v>
      </c>
      <c r="N424">
        <v>85.886760008764199</v>
      </c>
      <c r="O424">
        <v>1</v>
      </c>
      <c r="P424" t="str">
        <f>IF(Table1[[#This Row],[Delivery Delay]]&gt;0,"Late","On Time")</f>
        <v>Late</v>
      </c>
      <c r="Q424">
        <v>12.269537144109171</v>
      </c>
      <c r="R424">
        <v>0.17138166763305604</v>
      </c>
      <c r="S424">
        <v>1.1643238141687454E-2</v>
      </c>
      <c r="T424">
        <v>0.62</v>
      </c>
      <c r="U424">
        <v>0</v>
      </c>
      <c r="V424">
        <v>22.376930496911747</v>
      </c>
    </row>
    <row r="425" spans="1:22" x14ac:dyDescent="0.35">
      <c r="A425" t="s">
        <v>106</v>
      </c>
      <c r="B425" t="s">
        <v>13</v>
      </c>
      <c r="C425" t="s">
        <v>9</v>
      </c>
      <c r="D425">
        <v>0.79</v>
      </c>
      <c r="E425" t="s">
        <v>36</v>
      </c>
      <c r="F425" t="s">
        <v>39</v>
      </c>
      <c r="G425">
        <v>0</v>
      </c>
      <c r="H425">
        <v>980.95999999999901</v>
      </c>
      <c r="I425" t="s">
        <v>47</v>
      </c>
      <c r="J425" s="1">
        <v>45124</v>
      </c>
      <c r="K425">
        <v>52.646075273157798</v>
      </c>
      <c r="L425" s="1">
        <v>45139</v>
      </c>
      <c r="M425" s="1">
        <v>45143</v>
      </c>
      <c r="N425">
        <v>684.39897855105198</v>
      </c>
      <c r="O425">
        <v>4</v>
      </c>
      <c r="P425" t="str">
        <f>IF(Table1[[#This Row],[Delivery Delay]]&gt;0,"Late","On Time")</f>
        <v>Late</v>
      </c>
      <c r="Q425">
        <v>52.646075273157848</v>
      </c>
      <c r="R425">
        <v>0.67225877192982852</v>
      </c>
      <c r="S425">
        <v>1.4611360205667025E-3</v>
      </c>
      <c r="T425">
        <v>0.79</v>
      </c>
      <c r="U425">
        <v>1</v>
      </c>
      <c r="V425">
        <v>57.18900951921357</v>
      </c>
    </row>
    <row r="426" spans="1:22" x14ac:dyDescent="0.35">
      <c r="A426" t="s">
        <v>108</v>
      </c>
      <c r="B426" t="s">
        <v>12</v>
      </c>
      <c r="C426" t="s">
        <v>9</v>
      </c>
      <c r="D426">
        <v>0.83</v>
      </c>
      <c r="E426" t="s">
        <v>38</v>
      </c>
      <c r="F426" t="s">
        <v>34</v>
      </c>
      <c r="G426">
        <v>1</v>
      </c>
      <c r="H426">
        <v>-105.575599999999</v>
      </c>
      <c r="I426" t="s">
        <v>45</v>
      </c>
      <c r="J426" s="1">
        <v>45015</v>
      </c>
      <c r="K426">
        <v>9.8289098931400005</v>
      </c>
      <c r="L426" s="1">
        <v>45039</v>
      </c>
      <c r="M426" s="1">
        <v>45040</v>
      </c>
      <c r="N426">
        <v>147.4336483971</v>
      </c>
      <c r="O426">
        <v>1</v>
      </c>
      <c r="P426" t="str">
        <f>IF(Table1[[#This Row],[Delivery Delay]]&gt;0,"Late","On Time")</f>
        <v>Late</v>
      </c>
      <c r="Q426">
        <v>9.8289098931400005</v>
      </c>
      <c r="R426">
        <v>0</v>
      </c>
      <c r="S426">
        <v>6.7827121615181424E-3</v>
      </c>
      <c r="T426">
        <v>0.83</v>
      </c>
      <c r="U426">
        <v>0</v>
      </c>
      <c r="V426">
        <v>25.103481364845543</v>
      </c>
    </row>
    <row r="427" spans="1:22" x14ac:dyDescent="0.35">
      <c r="A427" t="s">
        <v>105</v>
      </c>
      <c r="B427" t="s">
        <v>12</v>
      </c>
      <c r="C427" t="s">
        <v>11</v>
      </c>
      <c r="D427">
        <v>0.73</v>
      </c>
      <c r="E427" t="s">
        <v>35</v>
      </c>
      <c r="F427" t="s">
        <v>39</v>
      </c>
      <c r="G427">
        <v>0</v>
      </c>
      <c r="H427">
        <v>598.59799999999996</v>
      </c>
      <c r="I427" t="s">
        <v>51</v>
      </c>
      <c r="J427" s="1">
        <v>44953</v>
      </c>
      <c r="K427">
        <v>40.978061506173802</v>
      </c>
      <c r="L427" s="1">
        <v>44972</v>
      </c>
      <c r="M427" s="1">
        <v>44972</v>
      </c>
      <c r="N427">
        <v>614.67092259260801</v>
      </c>
      <c r="O427">
        <v>0</v>
      </c>
      <c r="P427" t="str">
        <f>IF(Table1[[#This Row],[Delivery Delay]]&gt;0,"Late","On Time")</f>
        <v>On Time</v>
      </c>
      <c r="Q427">
        <v>40.978061506173866</v>
      </c>
      <c r="R427">
        <v>0.63900346724055468</v>
      </c>
      <c r="S427">
        <v>1.6268867832272271E-3</v>
      </c>
      <c r="T427">
        <v>0.73</v>
      </c>
      <c r="U427">
        <v>1</v>
      </c>
      <c r="V427">
        <v>54.728875948307909</v>
      </c>
    </row>
    <row r="428" spans="1:22" x14ac:dyDescent="0.35">
      <c r="A428" t="s">
        <v>106</v>
      </c>
      <c r="B428" t="s">
        <v>15</v>
      </c>
      <c r="C428" t="s">
        <v>9</v>
      </c>
      <c r="D428">
        <v>0.9</v>
      </c>
      <c r="E428" t="s">
        <v>38</v>
      </c>
      <c r="F428" t="s">
        <v>34</v>
      </c>
      <c r="G428">
        <v>1</v>
      </c>
      <c r="H428">
        <v>365.65199999999999</v>
      </c>
      <c r="I428" t="s">
        <v>47</v>
      </c>
      <c r="J428" s="1">
        <v>44299</v>
      </c>
      <c r="K428">
        <v>29.982365647497399</v>
      </c>
      <c r="L428" s="1">
        <v>44309</v>
      </c>
      <c r="M428" s="1">
        <v>44309</v>
      </c>
      <c r="N428">
        <v>479.71785035995902</v>
      </c>
      <c r="O428">
        <v>0</v>
      </c>
      <c r="P428" t="str">
        <f>IF(Table1[[#This Row],[Delivery Delay]]&gt;0,"Late","On Time")</f>
        <v>On Time</v>
      </c>
      <c r="Q428">
        <v>29.982365647497438</v>
      </c>
      <c r="R428">
        <v>0.78999766664074045</v>
      </c>
      <c r="S428">
        <v>2.0845586614082513E-3</v>
      </c>
      <c r="T428">
        <v>0.9</v>
      </c>
      <c r="U428">
        <v>0</v>
      </c>
      <c r="V428">
        <v>42.862490092657055</v>
      </c>
    </row>
    <row r="429" spans="1:22" x14ac:dyDescent="0.35">
      <c r="A429" t="s">
        <v>108</v>
      </c>
      <c r="B429" t="s">
        <v>10</v>
      </c>
      <c r="C429" t="s">
        <v>11</v>
      </c>
      <c r="D429">
        <v>0.64</v>
      </c>
      <c r="E429" t="s">
        <v>37</v>
      </c>
      <c r="F429" t="s">
        <v>34</v>
      </c>
      <c r="G429">
        <v>1</v>
      </c>
      <c r="H429">
        <v>460.312199999999</v>
      </c>
      <c r="I429" t="s">
        <v>46</v>
      </c>
      <c r="J429" s="1">
        <v>45072</v>
      </c>
      <c r="K429">
        <v>51.541561265747298</v>
      </c>
      <c r="L429" s="1">
        <v>45087</v>
      </c>
      <c r="M429" s="1">
        <v>45088</v>
      </c>
      <c r="N429">
        <v>515.41561265747305</v>
      </c>
      <c r="O429">
        <v>1</v>
      </c>
      <c r="P429" t="str">
        <f>IF(Table1[[#This Row],[Delivery Delay]]&gt;0,"Late","On Time")</f>
        <v>Late</v>
      </c>
      <c r="Q429">
        <v>51.541561265747305</v>
      </c>
      <c r="R429">
        <v>0.66730075229170926</v>
      </c>
      <c r="S429">
        <v>1.9401818172406907E-3</v>
      </c>
      <c r="T429">
        <v>0.64</v>
      </c>
      <c r="U429">
        <v>0</v>
      </c>
      <c r="V429">
        <v>32.60422050035141</v>
      </c>
    </row>
    <row r="430" spans="1:22" x14ac:dyDescent="0.35">
      <c r="A430" t="s">
        <v>107</v>
      </c>
      <c r="B430" t="s">
        <v>6</v>
      </c>
      <c r="C430" t="s">
        <v>5</v>
      </c>
      <c r="D430">
        <v>0.63</v>
      </c>
      <c r="E430" t="s">
        <v>37</v>
      </c>
      <c r="F430" t="s">
        <v>34</v>
      </c>
      <c r="G430">
        <v>1</v>
      </c>
      <c r="H430">
        <v>52.164000000000001</v>
      </c>
      <c r="I430" t="s">
        <v>48</v>
      </c>
      <c r="J430" s="1">
        <v>44363</v>
      </c>
      <c r="K430">
        <v>6.2644019286491197</v>
      </c>
      <c r="L430" s="1">
        <v>44383</v>
      </c>
      <c r="M430" s="1">
        <v>44382</v>
      </c>
      <c r="N430">
        <v>75.172823143789401</v>
      </c>
      <c r="O430">
        <v>-1</v>
      </c>
      <c r="P430" t="str">
        <f>IF(Table1[[#This Row],[Delivery Delay]]&gt;0,"Late","On Time")</f>
        <v>On Time</v>
      </c>
      <c r="Q430">
        <v>6.264401928649117</v>
      </c>
      <c r="R430">
        <v>0.28604329801934592</v>
      </c>
      <c r="S430">
        <v>1.3302679853957534E-2</v>
      </c>
      <c r="T430">
        <v>0.63</v>
      </c>
      <c r="U430">
        <v>0</v>
      </c>
      <c r="V430">
        <v>25.019946356005647</v>
      </c>
    </row>
    <row r="431" spans="1:22" x14ac:dyDescent="0.35">
      <c r="A431" t="s">
        <v>100</v>
      </c>
      <c r="B431" t="s">
        <v>8</v>
      </c>
      <c r="C431" t="s">
        <v>9</v>
      </c>
      <c r="D431">
        <v>0.88</v>
      </c>
      <c r="E431" t="s">
        <v>37</v>
      </c>
      <c r="F431" t="s">
        <v>34</v>
      </c>
      <c r="G431">
        <v>1</v>
      </c>
      <c r="H431">
        <v>74.738399999999999</v>
      </c>
      <c r="I431" t="s">
        <v>45</v>
      </c>
      <c r="J431" s="1">
        <v>44415</v>
      </c>
      <c r="K431">
        <v>77.017404093576204</v>
      </c>
      <c r="L431" s="1">
        <v>44428</v>
      </c>
      <c r="M431" s="1">
        <v>44434</v>
      </c>
      <c r="N431">
        <v>1155.26106140364</v>
      </c>
      <c r="O431">
        <v>6</v>
      </c>
      <c r="P431" t="str">
        <f>IF(Table1[[#This Row],[Delivery Delay]]&gt;0,"Late","On Time")</f>
        <v>Late</v>
      </c>
      <c r="Q431">
        <v>77.017404093576005</v>
      </c>
      <c r="R431">
        <v>0.19235782100302054</v>
      </c>
      <c r="S431">
        <v>8.6560521548696701E-4</v>
      </c>
      <c r="T431">
        <v>0.88</v>
      </c>
      <c r="U431">
        <v>0</v>
      </c>
      <c r="V431">
        <v>30.273124576525017</v>
      </c>
    </row>
    <row r="432" spans="1:22" x14ac:dyDescent="0.35">
      <c r="A432" t="s">
        <v>101</v>
      </c>
      <c r="B432" t="s">
        <v>4</v>
      </c>
      <c r="C432" t="s">
        <v>5</v>
      </c>
      <c r="D432">
        <v>0.79</v>
      </c>
      <c r="E432" t="s">
        <v>35</v>
      </c>
      <c r="F432" t="s">
        <v>39</v>
      </c>
      <c r="G432">
        <v>0</v>
      </c>
      <c r="H432">
        <v>243.90600000000001</v>
      </c>
      <c r="I432" t="s">
        <v>47</v>
      </c>
      <c r="J432" s="1">
        <v>45325</v>
      </c>
      <c r="K432">
        <v>33.588139177215297</v>
      </c>
      <c r="L432" s="1">
        <v>45339</v>
      </c>
      <c r="M432" s="1">
        <v>45345</v>
      </c>
      <c r="N432">
        <v>335.88139177215299</v>
      </c>
      <c r="O432">
        <v>6</v>
      </c>
      <c r="P432" t="str">
        <f>IF(Table1[[#This Row],[Delivery Delay]]&gt;0,"Late","On Time")</f>
        <v>Late</v>
      </c>
      <c r="Q432">
        <v>33.588139177215297</v>
      </c>
      <c r="R432">
        <v>0.43835188060731534</v>
      </c>
      <c r="S432">
        <v>2.9772414444392786E-3</v>
      </c>
      <c r="T432">
        <v>0.79</v>
      </c>
      <c r="U432">
        <v>1</v>
      </c>
      <c r="V432">
        <v>52.556354855479491</v>
      </c>
    </row>
    <row r="433" spans="1:22" x14ac:dyDescent="0.35">
      <c r="A433" t="s">
        <v>102</v>
      </c>
      <c r="B433" t="s">
        <v>14</v>
      </c>
      <c r="C433" t="s">
        <v>7</v>
      </c>
      <c r="D433">
        <v>0.87</v>
      </c>
      <c r="E433" t="s">
        <v>38</v>
      </c>
      <c r="F433" t="s">
        <v>39</v>
      </c>
      <c r="G433">
        <v>0</v>
      </c>
      <c r="H433">
        <v>93.968699999999899</v>
      </c>
      <c r="I433" t="s">
        <v>51</v>
      </c>
      <c r="J433" s="1">
        <v>44324</v>
      </c>
      <c r="K433">
        <v>52.839435548963998</v>
      </c>
      <c r="L433" s="1">
        <v>44343</v>
      </c>
      <c r="M433" s="1">
        <v>44342</v>
      </c>
      <c r="N433">
        <v>528.39435548964002</v>
      </c>
      <c r="O433">
        <v>-1</v>
      </c>
      <c r="P433" t="str">
        <f>IF(Table1[[#This Row],[Delivery Delay]]&gt;0,"Late","On Time")</f>
        <v>On Time</v>
      </c>
      <c r="Q433">
        <v>52.839435548964005</v>
      </c>
      <c r="R433">
        <v>6.9416772113115741E-2</v>
      </c>
      <c r="S433">
        <v>1.8925258939856456E-3</v>
      </c>
      <c r="T433">
        <v>0.87</v>
      </c>
      <c r="U433">
        <v>1</v>
      </c>
      <c r="V433">
        <v>47.545111219081889</v>
      </c>
    </row>
    <row r="434" spans="1:22" x14ac:dyDescent="0.35">
      <c r="A434" t="s">
        <v>99</v>
      </c>
      <c r="B434" t="s">
        <v>4</v>
      </c>
      <c r="C434" t="s">
        <v>7</v>
      </c>
      <c r="D434">
        <v>0.77</v>
      </c>
      <c r="E434" t="s">
        <v>35</v>
      </c>
      <c r="F434" t="s">
        <v>34</v>
      </c>
      <c r="G434">
        <v>1</v>
      </c>
      <c r="H434">
        <v>444.01</v>
      </c>
      <c r="I434" t="s">
        <v>51</v>
      </c>
      <c r="J434" s="1">
        <v>44244</v>
      </c>
      <c r="K434">
        <v>15.742334542468701</v>
      </c>
      <c r="L434" s="1">
        <v>44254</v>
      </c>
      <c r="M434" s="1">
        <v>44254</v>
      </c>
      <c r="N434">
        <v>204.65034905209299</v>
      </c>
      <c r="O434">
        <v>0</v>
      </c>
      <c r="P434" t="str">
        <f>IF(Table1[[#This Row],[Delivery Delay]]&gt;0,"Late","On Time")</f>
        <v>On Time</v>
      </c>
      <c r="Q434">
        <v>15.742334542468692</v>
      </c>
      <c r="R434">
        <v>0.53969199353356589</v>
      </c>
      <c r="S434">
        <v>4.8863830657110375E-3</v>
      </c>
      <c r="T434">
        <v>0.77</v>
      </c>
      <c r="U434">
        <v>0</v>
      </c>
      <c r="V434">
        <v>34.04043136264265</v>
      </c>
    </row>
    <row r="435" spans="1:22" x14ac:dyDescent="0.35">
      <c r="A435" t="s">
        <v>103</v>
      </c>
      <c r="B435" t="s">
        <v>15</v>
      </c>
      <c r="C435" t="s">
        <v>9</v>
      </c>
      <c r="D435">
        <v>0.7</v>
      </c>
      <c r="E435" t="s">
        <v>36</v>
      </c>
      <c r="F435" t="s">
        <v>34</v>
      </c>
      <c r="G435">
        <v>1</v>
      </c>
      <c r="H435">
        <v>5.02760000000006</v>
      </c>
      <c r="I435" t="s">
        <v>49</v>
      </c>
      <c r="J435" s="1">
        <v>44777</v>
      </c>
      <c r="K435">
        <v>61.781694911796997</v>
      </c>
      <c r="L435" s="1">
        <v>44794</v>
      </c>
      <c r="M435" s="1">
        <v>44795</v>
      </c>
      <c r="N435">
        <v>741.38033894156399</v>
      </c>
      <c r="O435">
        <v>1</v>
      </c>
      <c r="P435" t="str">
        <f>IF(Table1[[#This Row],[Delivery Delay]]&gt;0,"Late","On Time")</f>
        <v>Late</v>
      </c>
      <c r="Q435">
        <v>61.781694911796997</v>
      </c>
      <c r="R435">
        <v>1.2053484520541127E-2</v>
      </c>
      <c r="S435">
        <v>1.3488353379152945E-3</v>
      </c>
      <c r="T435">
        <v>0.7</v>
      </c>
      <c r="U435">
        <v>0</v>
      </c>
      <c r="V435">
        <v>21.281534750548282</v>
      </c>
    </row>
    <row r="436" spans="1:22" x14ac:dyDescent="0.35">
      <c r="A436" t="s">
        <v>104</v>
      </c>
      <c r="B436" t="s">
        <v>12</v>
      </c>
      <c r="C436" t="s">
        <v>9</v>
      </c>
      <c r="D436">
        <v>0.92</v>
      </c>
      <c r="E436" t="s">
        <v>38</v>
      </c>
      <c r="F436" t="s">
        <v>39</v>
      </c>
      <c r="G436">
        <v>0</v>
      </c>
      <c r="H436">
        <v>132.3056</v>
      </c>
      <c r="I436" t="s">
        <v>49</v>
      </c>
      <c r="J436" s="1">
        <v>45394</v>
      </c>
      <c r="K436">
        <v>76.844112111847906</v>
      </c>
      <c r="L436" s="1">
        <v>45406</v>
      </c>
      <c r="M436" s="1">
        <v>45410</v>
      </c>
      <c r="N436">
        <v>691.59700900663097</v>
      </c>
      <c r="O436">
        <v>4</v>
      </c>
      <c r="P436" t="str">
        <f>IF(Table1[[#This Row],[Delivery Delay]]&gt;0,"Late","On Time")</f>
        <v>Late</v>
      </c>
      <c r="Q436">
        <v>76.844112111847892</v>
      </c>
      <c r="R436">
        <v>0.15669602589271503</v>
      </c>
      <c r="S436">
        <v>1.4459287518266467E-3</v>
      </c>
      <c r="T436">
        <v>0.92</v>
      </c>
      <c r="U436">
        <v>1</v>
      </c>
      <c r="V436">
        <v>50.7772983804091</v>
      </c>
    </row>
    <row r="437" spans="1:22" x14ac:dyDescent="0.35">
      <c r="A437" t="s">
        <v>105</v>
      </c>
      <c r="B437" t="s">
        <v>10</v>
      </c>
      <c r="C437" t="s">
        <v>5</v>
      </c>
      <c r="D437">
        <v>0.91</v>
      </c>
      <c r="E437" t="s">
        <v>37</v>
      </c>
      <c r="F437" t="s">
        <v>34</v>
      </c>
      <c r="G437">
        <v>1</v>
      </c>
      <c r="H437">
        <v>416.00400000000002</v>
      </c>
      <c r="I437" t="s">
        <v>50</v>
      </c>
      <c r="J437" s="1">
        <v>44698</v>
      </c>
      <c r="K437">
        <v>41.213631374388299</v>
      </c>
      <c r="L437" s="1">
        <v>44719</v>
      </c>
      <c r="M437" s="1">
        <v>44717</v>
      </c>
      <c r="N437">
        <v>618.20447061582502</v>
      </c>
      <c r="O437">
        <v>-2</v>
      </c>
      <c r="P437" t="str">
        <f>IF(Table1[[#This Row],[Delivery Delay]]&gt;0,"Late","On Time")</f>
        <v>On Time</v>
      </c>
      <c r="Q437">
        <v>41.213631374388335</v>
      </c>
      <c r="R437">
        <v>0.42708515133657893</v>
      </c>
      <c r="S437">
        <v>1.6175877845138341E-3</v>
      </c>
      <c r="T437">
        <v>0.91</v>
      </c>
      <c r="U437">
        <v>0</v>
      </c>
      <c r="V437">
        <v>35.890230660266994</v>
      </c>
    </row>
    <row r="438" spans="1:22" x14ac:dyDescent="0.35">
      <c r="A438" t="s">
        <v>106</v>
      </c>
      <c r="B438" t="s">
        <v>12</v>
      </c>
      <c r="C438" t="s">
        <v>11</v>
      </c>
      <c r="D438">
        <v>0.87</v>
      </c>
      <c r="E438" t="s">
        <v>37</v>
      </c>
      <c r="F438" t="s">
        <v>39</v>
      </c>
      <c r="G438">
        <v>0</v>
      </c>
      <c r="H438">
        <v>-8.5939999999999301</v>
      </c>
      <c r="I438" t="s">
        <v>46</v>
      </c>
      <c r="J438" s="1">
        <v>44948</v>
      </c>
      <c r="K438">
        <v>34.485019012525399</v>
      </c>
      <c r="L438" s="1">
        <v>44961</v>
      </c>
      <c r="M438" s="1">
        <v>44966</v>
      </c>
      <c r="N438">
        <v>379.33520913778</v>
      </c>
      <c r="O438">
        <v>5</v>
      </c>
      <c r="P438" t="str">
        <f>IF(Table1[[#This Row],[Delivery Delay]]&gt;0,"Late","On Time")</f>
        <v>Late</v>
      </c>
      <c r="Q438">
        <v>34.485019012525456</v>
      </c>
      <c r="R438">
        <v>0</v>
      </c>
      <c r="S438">
        <v>2.6361908304609436E-3</v>
      </c>
      <c r="T438">
        <v>0.87</v>
      </c>
      <c r="U438">
        <v>1</v>
      </c>
      <c r="V438">
        <v>46.179085724913833</v>
      </c>
    </row>
    <row r="439" spans="1:22" x14ac:dyDescent="0.35">
      <c r="A439" t="s">
        <v>108</v>
      </c>
      <c r="B439" t="s">
        <v>14</v>
      </c>
      <c r="C439" t="s">
        <v>7</v>
      </c>
      <c r="D439">
        <v>0.71</v>
      </c>
      <c r="E439" t="s">
        <v>38</v>
      </c>
      <c r="F439" t="s">
        <v>34</v>
      </c>
      <c r="G439">
        <v>1</v>
      </c>
      <c r="H439">
        <v>470.79840000000002</v>
      </c>
      <c r="I439" t="s">
        <v>47</v>
      </c>
      <c r="J439" s="1">
        <v>44649</v>
      </c>
      <c r="K439">
        <v>67.721346708207093</v>
      </c>
      <c r="L439" s="1">
        <v>44661</v>
      </c>
      <c r="M439" s="1">
        <v>44662</v>
      </c>
      <c r="N439">
        <v>812.65616049848495</v>
      </c>
      <c r="O439">
        <v>1</v>
      </c>
      <c r="P439" t="str">
        <f>IF(Table1[[#This Row],[Delivery Delay]]&gt;0,"Late","On Time")</f>
        <v>Late</v>
      </c>
      <c r="Q439">
        <v>67.721346708207079</v>
      </c>
      <c r="R439">
        <v>0.83558096146801497</v>
      </c>
      <c r="S439">
        <v>1.2305327254107049E-3</v>
      </c>
      <c r="T439">
        <v>0.71</v>
      </c>
      <c r="U439">
        <v>0</v>
      </c>
      <c r="V439">
        <v>38.048535211122619</v>
      </c>
    </row>
    <row r="440" spans="1:22" x14ac:dyDescent="0.35">
      <c r="A440" t="s">
        <v>107</v>
      </c>
      <c r="B440" t="s">
        <v>12</v>
      </c>
      <c r="C440" t="s">
        <v>7</v>
      </c>
      <c r="D440">
        <v>0.83</v>
      </c>
      <c r="E440" t="s">
        <v>36</v>
      </c>
      <c r="F440" t="s">
        <v>34</v>
      </c>
      <c r="G440">
        <v>1</v>
      </c>
      <c r="H440">
        <v>394.42499999999899</v>
      </c>
      <c r="I440" t="s">
        <v>47</v>
      </c>
      <c r="J440" s="1">
        <v>44866</v>
      </c>
      <c r="K440">
        <v>3.7418928607113502</v>
      </c>
      <c r="L440" s="1">
        <v>44883</v>
      </c>
      <c r="M440" s="1">
        <v>44884</v>
      </c>
      <c r="N440">
        <v>37.4189286071135</v>
      </c>
      <c r="O440">
        <v>1</v>
      </c>
      <c r="P440" t="str">
        <f>IF(Table1[[#This Row],[Delivery Delay]]&gt;0,"Late","On Time")</f>
        <v>Late</v>
      </c>
      <c r="Q440">
        <v>3.7418928607113502</v>
      </c>
      <c r="R440">
        <v>0.57209059460870637</v>
      </c>
      <c r="S440">
        <v>2.6724442340390678E-2</v>
      </c>
      <c r="T440">
        <v>0.83</v>
      </c>
      <c r="U440">
        <v>0</v>
      </c>
      <c r="V440">
        <v>37.143545162385848</v>
      </c>
    </row>
    <row r="441" spans="1:22" x14ac:dyDescent="0.35">
      <c r="A441" t="s">
        <v>100</v>
      </c>
      <c r="B441" t="s">
        <v>12</v>
      </c>
      <c r="C441" t="s">
        <v>11</v>
      </c>
      <c r="D441">
        <v>0.74</v>
      </c>
      <c r="E441" t="s">
        <v>37</v>
      </c>
      <c r="F441" t="s">
        <v>34</v>
      </c>
      <c r="G441">
        <v>1</v>
      </c>
      <c r="H441">
        <v>146.72879999999901</v>
      </c>
      <c r="I441" t="s">
        <v>50</v>
      </c>
      <c r="J441" s="1">
        <v>44217</v>
      </c>
      <c r="K441">
        <v>60.545231380052499</v>
      </c>
      <c r="L441" s="1">
        <v>44237</v>
      </c>
      <c r="M441" s="1">
        <v>44235</v>
      </c>
      <c r="N441">
        <v>605.45231380052496</v>
      </c>
      <c r="O441">
        <v>-2</v>
      </c>
      <c r="P441" t="str">
        <f>IF(Table1[[#This Row],[Delivery Delay]]&gt;0,"Late","On Time")</f>
        <v>On Time</v>
      </c>
      <c r="Q441">
        <v>60.545231380052499</v>
      </c>
      <c r="R441">
        <v>0.76481479164842203</v>
      </c>
      <c r="S441">
        <v>1.6516577395217693E-3</v>
      </c>
      <c r="T441">
        <v>0.74</v>
      </c>
      <c r="U441">
        <v>0</v>
      </c>
      <c r="V441">
        <v>37.545845565154096</v>
      </c>
    </row>
    <row r="442" spans="1:22" x14ac:dyDescent="0.35">
      <c r="A442" t="s">
        <v>101</v>
      </c>
      <c r="B442" t="s">
        <v>14</v>
      </c>
      <c r="C442" t="s">
        <v>5</v>
      </c>
      <c r="D442">
        <v>0.64</v>
      </c>
      <c r="E442" t="s">
        <v>35</v>
      </c>
      <c r="F442" t="s">
        <v>34</v>
      </c>
      <c r="G442">
        <v>1</v>
      </c>
      <c r="H442">
        <v>230.68199999999899</v>
      </c>
      <c r="I442" t="s">
        <v>48</v>
      </c>
      <c r="J442" s="1">
        <v>45248</v>
      </c>
      <c r="K442">
        <v>53.956255094076297</v>
      </c>
      <c r="L442" s="1">
        <v>45269</v>
      </c>
      <c r="M442" s="1">
        <v>45272</v>
      </c>
      <c r="N442">
        <v>755.38757131706802</v>
      </c>
      <c r="O442">
        <v>3</v>
      </c>
      <c r="P442" t="str">
        <f>IF(Table1[[#This Row],[Delivery Delay]]&gt;0,"Late","On Time")</f>
        <v>Late</v>
      </c>
      <c r="Q442">
        <v>53.95625509407629</v>
      </c>
      <c r="R442">
        <v>0.23854639763730592</v>
      </c>
      <c r="S442">
        <v>1.323823740250894E-3</v>
      </c>
      <c r="T442">
        <v>0.64</v>
      </c>
      <c r="U442">
        <v>0</v>
      </c>
      <c r="V442">
        <v>24.010642664953647</v>
      </c>
    </row>
    <row r="443" spans="1:22" x14ac:dyDescent="0.35">
      <c r="A443" t="s">
        <v>102</v>
      </c>
      <c r="B443" t="s">
        <v>8</v>
      </c>
      <c r="C443" t="s">
        <v>5</v>
      </c>
      <c r="D443">
        <v>0.96</v>
      </c>
      <c r="E443" t="s">
        <v>37</v>
      </c>
      <c r="F443" t="s">
        <v>34</v>
      </c>
      <c r="G443">
        <v>1</v>
      </c>
      <c r="H443">
        <v>300.93599999999901</v>
      </c>
      <c r="I443" t="s">
        <v>48</v>
      </c>
      <c r="J443" s="1">
        <v>44762</v>
      </c>
      <c r="K443">
        <v>12.463036630004201</v>
      </c>
      <c r="L443" s="1">
        <v>44781</v>
      </c>
      <c r="M443" s="1">
        <v>44785</v>
      </c>
      <c r="N443">
        <v>74.778219780025296</v>
      </c>
      <c r="O443">
        <v>4</v>
      </c>
      <c r="P443" t="str">
        <f>IF(Table1[[#This Row],[Delivery Delay]]&gt;0,"Late","On Time")</f>
        <v>Late</v>
      </c>
      <c r="Q443">
        <v>12.463036630004217</v>
      </c>
      <c r="R443">
        <v>0.29049671022147994</v>
      </c>
      <c r="S443">
        <v>1.3372877863924748E-2</v>
      </c>
      <c r="T443">
        <v>0.96</v>
      </c>
      <c r="U443">
        <v>0</v>
      </c>
      <c r="V443">
        <v>35.011120540347342</v>
      </c>
    </row>
    <row r="444" spans="1:22" x14ac:dyDescent="0.35">
      <c r="A444" t="s">
        <v>99</v>
      </c>
      <c r="B444" t="s">
        <v>8</v>
      </c>
      <c r="C444" t="s">
        <v>9</v>
      </c>
      <c r="D444">
        <v>0.65</v>
      </c>
      <c r="E444" t="s">
        <v>37</v>
      </c>
      <c r="F444" t="s">
        <v>34</v>
      </c>
      <c r="G444">
        <v>1</v>
      </c>
      <c r="H444">
        <v>310.14120000000003</v>
      </c>
      <c r="I444" t="s">
        <v>50</v>
      </c>
      <c r="J444" s="1">
        <v>44763</v>
      </c>
      <c r="K444">
        <v>68.411900912335994</v>
      </c>
      <c r="L444" s="1">
        <v>44776</v>
      </c>
      <c r="M444" s="1">
        <v>44773</v>
      </c>
      <c r="N444">
        <v>889.35471186036898</v>
      </c>
      <c r="O444">
        <v>-3</v>
      </c>
      <c r="P444" t="str">
        <f>IF(Table1[[#This Row],[Delivery Delay]]&gt;0,"Late","On Time")</f>
        <v>On Time</v>
      </c>
      <c r="Q444">
        <v>68.41190091233608</v>
      </c>
      <c r="R444">
        <v>0.22913318043071024</v>
      </c>
      <c r="S444">
        <v>1.1244107515978423E-3</v>
      </c>
      <c r="T444">
        <v>0.65</v>
      </c>
      <c r="U444">
        <v>0</v>
      </c>
      <c r="V444">
        <v>24.116395931162142</v>
      </c>
    </row>
    <row r="445" spans="1:22" x14ac:dyDescent="0.35">
      <c r="A445" t="s">
        <v>103</v>
      </c>
      <c r="B445" t="s">
        <v>14</v>
      </c>
      <c r="C445" t="s">
        <v>9</v>
      </c>
      <c r="D445">
        <v>0.97</v>
      </c>
      <c r="E445" t="s">
        <v>36</v>
      </c>
      <c r="F445" t="s">
        <v>34</v>
      </c>
      <c r="G445">
        <v>1</v>
      </c>
      <c r="H445">
        <v>56.459199999999903</v>
      </c>
      <c r="I445" t="s">
        <v>48</v>
      </c>
      <c r="J445" s="1">
        <v>45311</v>
      </c>
      <c r="K445">
        <v>66.516814839441196</v>
      </c>
      <c r="L445" s="1">
        <v>45333</v>
      </c>
      <c r="M445" s="1">
        <v>45333</v>
      </c>
      <c r="N445">
        <v>399.100889036647</v>
      </c>
      <c r="O445">
        <v>0</v>
      </c>
      <c r="P445" t="str">
        <f>IF(Table1[[#This Row],[Delivery Delay]]&gt;0,"Late","On Time")</f>
        <v>On Time</v>
      </c>
      <c r="Q445">
        <v>66.516814839441167</v>
      </c>
      <c r="R445">
        <v>0.38803787237318077</v>
      </c>
      <c r="S445">
        <v>2.5056321032353702E-3</v>
      </c>
      <c r="T445">
        <v>0.97</v>
      </c>
      <c r="U445">
        <v>0</v>
      </c>
      <c r="V445">
        <v>36.935926410560675</v>
      </c>
    </row>
    <row r="446" spans="1:22" x14ac:dyDescent="0.35">
      <c r="A446" t="s">
        <v>104</v>
      </c>
      <c r="B446" t="s">
        <v>10</v>
      </c>
      <c r="C446" t="s">
        <v>9</v>
      </c>
      <c r="D446">
        <v>0.77</v>
      </c>
      <c r="E446" t="s">
        <v>38</v>
      </c>
      <c r="F446" t="s">
        <v>34</v>
      </c>
      <c r="G446">
        <v>1</v>
      </c>
      <c r="H446">
        <v>145.01759999999999</v>
      </c>
      <c r="I446" t="s">
        <v>49</v>
      </c>
      <c r="J446" s="1">
        <v>44842</v>
      </c>
      <c r="K446">
        <v>61.529619880981301</v>
      </c>
      <c r="L446" s="1">
        <v>44858</v>
      </c>
      <c r="M446" s="1">
        <v>44856</v>
      </c>
      <c r="N446">
        <v>676.82581869079399</v>
      </c>
      <c r="O446">
        <v>-2</v>
      </c>
      <c r="P446" t="str">
        <f>IF(Table1[[#This Row],[Delivery Delay]]&gt;0,"Late","On Time")</f>
        <v>On Time</v>
      </c>
      <c r="Q446">
        <v>61.529619880981272</v>
      </c>
      <c r="R446">
        <v>0.37224316798501755</v>
      </c>
      <c r="S446">
        <v>1.4774850077887577E-3</v>
      </c>
      <c r="T446">
        <v>0.77</v>
      </c>
      <c r="U446">
        <v>0</v>
      </c>
      <c r="V446">
        <v>30.589187909934012</v>
      </c>
    </row>
    <row r="447" spans="1:22" x14ac:dyDescent="0.35">
      <c r="A447" t="s">
        <v>105</v>
      </c>
      <c r="B447" t="s">
        <v>15</v>
      </c>
      <c r="C447" t="s">
        <v>7</v>
      </c>
      <c r="D447">
        <v>0.67</v>
      </c>
      <c r="E447" t="s">
        <v>38</v>
      </c>
      <c r="F447" t="s">
        <v>34</v>
      </c>
      <c r="G447">
        <v>1</v>
      </c>
      <c r="H447">
        <v>74.418499999999995</v>
      </c>
      <c r="I447" t="s">
        <v>47</v>
      </c>
      <c r="J447" s="1">
        <v>44764</v>
      </c>
      <c r="K447">
        <v>29.0789832921865</v>
      </c>
      <c r="L447" s="1">
        <v>44788</v>
      </c>
      <c r="M447" s="1">
        <v>44792</v>
      </c>
      <c r="N447">
        <v>407.10576609061098</v>
      </c>
      <c r="O447">
        <v>4</v>
      </c>
      <c r="P447" t="str">
        <f>IF(Table1[[#This Row],[Delivery Delay]]&gt;0,"Late","On Time")</f>
        <v>Late</v>
      </c>
      <c r="Q447">
        <v>29.0789832921865</v>
      </c>
      <c r="R447">
        <v>0.14079253682351484</v>
      </c>
      <c r="S447">
        <v>2.4563641276881998E-3</v>
      </c>
      <c r="T447">
        <v>0.67</v>
      </c>
      <c r="U447">
        <v>0</v>
      </c>
      <c r="V447">
        <v>22.989541660300944</v>
      </c>
    </row>
    <row r="448" spans="1:22" x14ac:dyDescent="0.35">
      <c r="A448" t="s">
        <v>106</v>
      </c>
      <c r="B448" t="s">
        <v>13</v>
      </c>
      <c r="C448" t="s">
        <v>9</v>
      </c>
      <c r="D448">
        <v>0.81</v>
      </c>
      <c r="E448" t="s">
        <v>36</v>
      </c>
      <c r="F448" t="s">
        <v>34</v>
      </c>
      <c r="G448">
        <v>1</v>
      </c>
      <c r="H448">
        <v>397.4769</v>
      </c>
      <c r="I448" t="s">
        <v>50</v>
      </c>
      <c r="J448" s="1">
        <v>44397</v>
      </c>
      <c r="K448">
        <v>39.443947018446003</v>
      </c>
      <c r="L448" s="1">
        <v>44408</v>
      </c>
      <c r="M448" s="1">
        <v>44407</v>
      </c>
      <c r="N448">
        <v>315.55157614756803</v>
      </c>
      <c r="O448">
        <v>-1</v>
      </c>
      <c r="P448" t="str">
        <f>IF(Table1[[#This Row],[Delivery Delay]]&gt;0,"Late","On Time")</f>
        <v>On Time</v>
      </c>
      <c r="Q448">
        <v>39.443947018446003</v>
      </c>
      <c r="R448">
        <v>0.7119326306015562</v>
      </c>
      <c r="S448">
        <v>3.1690540488137158E-3</v>
      </c>
      <c r="T448">
        <v>0.81</v>
      </c>
      <c r="U448">
        <v>0</v>
      </c>
      <c r="V448">
        <v>38.633724233495535</v>
      </c>
    </row>
    <row r="449" spans="1:22" x14ac:dyDescent="0.35">
      <c r="A449" t="s">
        <v>108</v>
      </c>
      <c r="B449" t="s">
        <v>12</v>
      </c>
      <c r="C449" t="s">
        <v>5</v>
      </c>
      <c r="D449">
        <v>0.94</v>
      </c>
      <c r="E449" t="s">
        <v>37</v>
      </c>
      <c r="F449" t="s">
        <v>34</v>
      </c>
      <c r="G449">
        <v>1</v>
      </c>
      <c r="H449">
        <v>637.10220000000004</v>
      </c>
      <c r="I449" t="s">
        <v>47</v>
      </c>
      <c r="J449" s="1">
        <v>44927</v>
      </c>
      <c r="K449">
        <v>29.500692003595301</v>
      </c>
      <c r="L449" s="1">
        <v>44947</v>
      </c>
      <c r="M449" s="1">
        <v>44945</v>
      </c>
      <c r="N449">
        <v>206.50484402516699</v>
      </c>
      <c r="O449">
        <v>-2</v>
      </c>
      <c r="P449" t="str">
        <f>IF(Table1[[#This Row],[Delivery Delay]]&gt;0,"Late","On Time")</f>
        <v>On Time</v>
      </c>
      <c r="Q449">
        <v>29.500692003595283</v>
      </c>
      <c r="R449">
        <v>0.70730803996970504</v>
      </c>
      <c r="S449">
        <v>4.8425014179237788E-3</v>
      </c>
      <c r="T449">
        <v>0.94</v>
      </c>
      <c r="U449">
        <v>0</v>
      </c>
      <c r="V449">
        <v>42.491435841931811</v>
      </c>
    </row>
    <row r="450" spans="1:22" x14ac:dyDescent="0.35">
      <c r="A450" t="s">
        <v>101</v>
      </c>
      <c r="B450" t="s">
        <v>10</v>
      </c>
      <c r="C450" t="s">
        <v>11</v>
      </c>
      <c r="D450">
        <v>0.89</v>
      </c>
      <c r="E450" t="s">
        <v>38</v>
      </c>
      <c r="F450" t="s">
        <v>34</v>
      </c>
      <c r="G450">
        <v>1</v>
      </c>
      <c r="H450">
        <v>330.56400000000002</v>
      </c>
      <c r="I450" t="s">
        <v>51</v>
      </c>
      <c r="J450" s="1">
        <v>44860</v>
      </c>
      <c r="K450">
        <v>11.152251778070401</v>
      </c>
      <c r="L450" s="1">
        <v>44876</v>
      </c>
      <c r="M450" s="1">
        <v>44882</v>
      </c>
      <c r="N450">
        <v>89.218014224563603</v>
      </c>
      <c r="O450">
        <v>6</v>
      </c>
      <c r="P450" t="str">
        <f>IF(Table1[[#This Row],[Delivery Delay]]&gt;0,"Late","On Time")</f>
        <v>Late</v>
      </c>
      <c r="Q450">
        <v>11.15225177807045</v>
      </c>
      <c r="R450">
        <v>0.34592877235282304</v>
      </c>
      <c r="S450">
        <v>1.1208498739760998E-2</v>
      </c>
      <c r="T450">
        <v>0.89</v>
      </c>
      <c r="U450">
        <v>0</v>
      </c>
      <c r="V450">
        <v>33.95483040924929</v>
      </c>
    </row>
    <row r="451" spans="1:22" x14ac:dyDescent="0.35">
      <c r="A451" t="s">
        <v>102</v>
      </c>
      <c r="B451" t="s">
        <v>12</v>
      </c>
      <c r="C451" t="s">
        <v>5</v>
      </c>
      <c r="D451">
        <v>0.91</v>
      </c>
      <c r="E451" t="s">
        <v>38</v>
      </c>
      <c r="F451" t="s">
        <v>34</v>
      </c>
      <c r="G451">
        <v>1</v>
      </c>
      <c r="H451">
        <v>463.72199999999998</v>
      </c>
      <c r="I451" t="s">
        <v>49</v>
      </c>
      <c r="J451" s="1">
        <v>44271</v>
      </c>
      <c r="K451">
        <v>22.223499344846399</v>
      </c>
      <c r="L451" s="1">
        <v>44287</v>
      </c>
      <c r="M451" s="1">
        <v>44289</v>
      </c>
      <c r="N451">
        <v>355.57598951754301</v>
      </c>
      <c r="O451">
        <v>2</v>
      </c>
      <c r="P451" t="str">
        <f>IF(Table1[[#This Row],[Delivery Delay]]&gt;0,"Late","On Time")</f>
        <v>Late</v>
      </c>
      <c r="Q451">
        <v>22.223499344846438</v>
      </c>
      <c r="R451">
        <v>0.33759069088875976</v>
      </c>
      <c r="S451">
        <v>2.8123383734566338E-3</v>
      </c>
      <c r="T451">
        <v>0.91</v>
      </c>
      <c r="U451">
        <v>0</v>
      </c>
      <c r="V451">
        <v>34.136183968978898</v>
      </c>
    </row>
    <row r="452" spans="1:22" x14ac:dyDescent="0.35">
      <c r="A452" t="s">
        <v>99</v>
      </c>
      <c r="B452" t="s">
        <v>13</v>
      </c>
      <c r="C452" t="s">
        <v>7</v>
      </c>
      <c r="D452">
        <v>0.86</v>
      </c>
      <c r="E452" t="s">
        <v>37</v>
      </c>
      <c r="F452" t="s">
        <v>39</v>
      </c>
      <c r="G452">
        <v>0</v>
      </c>
      <c r="H452">
        <v>533.37689999999895</v>
      </c>
      <c r="I452" t="s">
        <v>45</v>
      </c>
      <c r="J452" s="1">
        <v>44800</v>
      </c>
      <c r="K452">
        <v>18.295405961935501</v>
      </c>
      <c r="L452" s="1">
        <v>44820</v>
      </c>
      <c r="M452" s="1">
        <v>44821</v>
      </c>
      <c r="N452">
        <v>292.72649539096801</v>
      </c>
      <c r="O452">
        <v>1</v>
      </c>
      <c r="P452" t="str">
        <f>IF(Table1[[#This Row],[Delivery Delay]]&gt;0,"Late","On Time")</f>
        <v>Late</v>
      </c>
      <c r="Q452">
        <v>18.295405961935501</v>
      </c>
      <c r="R452">
        <v>0.86208332249082698</v>
      </c>
      <c r="S452">
        <v>3.4161581399196252E-3</v>
      </c>
      <c r="T452">
        <v>0.86</v>
      </c>
      <c r="U452">
        <v>1</v>
      </c>
      <c r="V452">
        <v>63.144151194014128</v>
      </c>
    </row>
    <row r="453" spans="1:22" x14ac:dyDescent="0.35">
      <c r="A453" t="s">
        <v>103</v>
      </c>
      <c r="B453" t="s">
        <v>15</v>
      </c>
      <c r="C453" t="s">
        <v>5</v>
      </c>
      <c r="D453">
        <v>0.87</v>
      </c>
      <c r="E453" t="s">
        <v>38</v>
      </c>
      <c r="F453" t="s">
        <v>34</v>
      </c>
      <c r="G453">
        <v>1</v>
      </c>
      <c r="H453">
        <v>7.923</v>
      </c>
      <c r="I453" t="s">
        <v>49</v>
      </c>
      <c r="J453" s="1">
        <v>44887</v>
      </c>
      <c r="K453">
        <v>13.964899395945199</v>
      </c>
      <c r="L453" s="1">
        <v>44910</v>
      </c>
      <c r="M453" s="1">
        <v>44908</v>
      </c>
      <c r="N453">
        <v>125.684094563507</v>
      </c>
      <c r="O453">
        <v>-2</v>
      </c>
      <c r="P453" t="str">
        <f>IF(Table1[[#This Row],[Delivery Delay]]&gt;0,"Late","On Time")</f>
        <v>On Time</v>
      </c>
      <c r="Q453">
        <v>13.964899395945222</v>
      </c>
      <c r="R453">
        <v>8.1309657099637427E-3</v>
      </c>
      <c r="S453">
        <v>7.9564562522643576E-3</v>
      </c>
      <c r="T453">
        <v>0.87</v>
      </c>
      <c r="U453">
        <v>0</v>
      </c>
      <c r="V453">
        <v>26.501313001767208</v>
      </c>
    </row>
    <row r="454" spans="1:22" x14ac:dyDescent="0.35">
      <c r="A454" t="s">
        <v>104</v>
      </c>
      <c r="B454" t="s">
        <v>8</v>
      </c>
      <c r="C454" t="s">
        <v>9</v>
      </c>
      <c r="D454">
        <v>0.93</v>
      </c>
      <c r="E454" t="s">
        <v>35</v>
      </c>
      <c r="F454" t="s">
        <v>34</v>
      </c>
      <c r="G454">
        <v>1</v>
      </c>
      <c r="H454">
        <v>-4.274</v>
      </c>
      <c r="I454" t="s">
        <v>50</v>
      </c>
      <c r="J454" s="1">
        <v>44294</v>
      </c>
      <c r="K454">
        <v>19.235062112451299</v>
      </c>
      <c r="L454" s="1">
        <v>44307</v>
      </c>
      <c r="M454" s="1">
        <v>44309</v>
      </c>
      <c r="N454">
        <v>173.115559012061</v>
      </c>
      <c r="O454">
        <v>2</v>
      </c>
      <c r="P454" t="str">
        <f>IF(Table1[[#This Row],[Delivery Delay]]&gt;0,"Late","On Time")</f>
        <v>Late</v>
      </c>
      <c r="Q454">
        <v>19.235062112451221</v>
      </c>
      <c r="R454">
        <v>0</v>
      </c>
      <c r="S454">
        <v>5.7764882931772166E-3</v>
      </c>
      <c r="T454">
        <v>0.93</v>
      </c>
      <c r="U454">
        <v>0</v>
      </c>
      <c r="V454">
        <v>28.073294648795322</v>
      </c>
    </row>
    <row r="455" spans="1:22" x14ac:dyDescent="0.35">
      <c r="A455" t="s">
        <v>105</v>
      </c>
      <c r="B455" t="s">
        <v>10</v>
      </c>
      <c r="C455" t="s">
        <v>7</v>
      </c>
      <c r="D455">
        <v>0.7</v>
      </c>
      <c r="E455" t="s">
        <v>38</v>
      </c>
      <c r="F455" t="s">
        <v>39</v>
      </c>
      <c r="G455">
        <v>0</v>
      </c>
      <c r="H455">
        <v>136.95209999999901</v>
      </c>
      <c r="I455" t="s">
        <v>45</v>
      </c>
      <c r="J455" s="1">
        <v>45173</v>
      </c>
      <c r="K455">
        <v>29.2868473408233</v>
      </c>
      <c r="L455" s="1">
        <v>45184</v>
      </c>
      <c r="M455" s="1">
        <v>45184</v>
      </c>
      <c r="N455">
        <v>322.15532074905599</v>
      </c>
      <c r="O455">
        <v>0</v>
      </c>
      <c r="P455" t="str">
        <f>IF(Table1[[#This Row],[Delivery Delay]]&gt;0,"Late","On Time")</f>
        <v>On Time</v>
      </c>
      <c r="Q455">
        <v>29.286847340823272</v>
      </c>
      <c r="R455">
        <v>0.2262167574245266</v>
      </c>
      <c r="S455">
        <v>3.1040927639340572E-3</v>
      </c>
      <c r="T455">
        <v>0.7</v>
      </c>
      <c r="U455">
        <v>1</v>
      </c>
      <c r="V455">
        <v>45.617457931408552</v>
      </c>
    </row>
    <row r="456" spans="1:22" x14ac:dyDescent="0.35">
      <c r="A456" t="s">
        <v>106</v>
      </c>
      <c r="B456" t="s">
        <v>6</v>
      </c>
      <c r="C456" t="s">
        <v>11</v>
      </c>
      <c r="D456">
        <v>0.79</v>
      </c>
      <c r="E456" t="s">
        <v>35</v>
      </c>
      <c r="F456" t="s">
        <v>34</v>
      </c>
      <c r="G456">
        <v>1</v>
      </c>
      <c r="H456">
        <v>44.361800000000002</v>
      </c>
      <c r="I456" t="s">
        <v>51</v>
      </c>
      <c r="J456" s="1">
        <v>45158</v>
      </c>
      <c r="K456">
        <v>41.620027607724801</v>
      </c>
      <c r="L456" s="1">
        <v>45177</v>
      </c>
      <c r="M456" s="1">
        <v>45179</v>
      </c>
      <c r="N456">
        <v>249.72016564634899</v>
      </c>
      <c r="O456">
        <v>2</v>
      </c>
      <c r="P456" t="str">
        <f>IF(Table1[[#This Row],[Delivery Delay]]&gt;0,"Late","On Time")</f>
        <v>Late</v>
      </c>
      <c r="Q456">
        <v>41.620027607724829</v>
      </c>
      <c r="R456">
        <v>5.8518487055090967E-2</v>
      </c>
      <c r="S456">
        <v>4.0044823669394373E-3</v>
      </c>
      <c r="T456">
        <v>0.79</v>
      </c>
      <c r="U456">
        <v>0</v>
      </c>
      <c r="V456">
        <v>24.99050421211</v>
      </c>
    </row>
    <row r="457" spans="1:22" x14ac:dyDescent="0.35">
      <c r="A457" t="s">
        <v>108</v>
      </c>
      <c r="B457" t="s">
        <v>6</v>
      </c>
      <c r="C457" t="s">
        <v>9</v>
      </c>
      <c r="D457">
        <v>0.69</v>
      </c>
      <c r="E457" t="s">
        <v>37</v>
      </c>
      <c r="F457" t="s">
        <v>34</v>
      </c>
      <c r="G457">
        <v>1</v>
      </c>
      <c r="H457">
        <v>859.14239999999995</v>
      </c>
      <c r="I457" t="s">
        <v>50</v>
      </c>
      <c r="J457" s="1">
        <v>45243</v>
      </c>
      <c r="K457">
        <v>3.9392567615340899</v>
      </c>
      <c r="L457" s="1">
        <v>45256</v>
      </c>
      <c r="M457" s="1">
        <v>45260</v>
      </c>
      <c r="N457">
        <v>35.453310853806798</v>
      </c>
      <c r="O457">
        <v>4</v>
      </c>
      <c r="P457" t="str">
        <f>IF(Table1[[#This Row],[Delivery Delay]]&gt;0,"Late","On Time")</f>
        <v>Late</v>
      </c>
      <c r="Q457">
        <v>3.9392567615340885</v>
      </c>
      <c r="R457">
        <v>0.82260051105759513</v>
      </c>
      <c r="S457">
        <v>2.8206110400338675E-2</v>
      </c>
      <c r="T457">
        <v>0.69</v>
      </c>
      <c r="U457">
        <v>0</v>
      </c>
      <c r="V457">
        <v>37.998193533162059</v>
      </c>
    </row>
    <row r="458" spans="1:22" x14ac:dyDescent="0.35">
      <c r="A458" t="s">
        <v>107</v>
      </c>
      <c r="B458" t="s">
        <v>13</v>
      </c>
      <c r="C458" t="s">
        <v>7</v>
      </c>
      <c r="D458">
        <v>0.99</v>
      </c>
      <c r="E458" t="s">
        <v>37</v>
      </c>
      <c r="F458" t="s">
        <v>39</v>
      </c>
      <c r="G458">
        <v>0</v>
      </c>
      <c r="H458">
        <v>233.25720000000001</v>
      </c>
      <c r="I458" t="s">
        <v>46</v>
      </c>
      <c r="J458" s="1">
        <v>44390</v>
      </c>
      <c r="K458">
        <v>30.9939257580351</v>
      </c>
      <c r="L458" s="1">
        <v>44409</v>
      </c>
      <c r="M458" s="1">
        <v>44409</v>
      </c>
      <c r="N458">
        <v>247.951406064281</v>
      </c>
      <c r="O458">
        <v>0</v>
      </c>
      <c r="P458" t="str">
        <f>IF(Table1[[#This Row],[Delivery Delay]]&gt;0,"Late","On Time")</f>
        <v>On Time</v>
      </c>
      <c r="Q458">
        <v>30.993925758035125</v>
      </c>
      <c r="R458">
        <v>0.29235457172035295</v>
      </c>
      <c r="S458">
        <v>4.0330483132680912E-3</v>
      </c>
      <c r="T458">
        <v>0.99</v>
      </c>
      <c r="U458">
        <v>1</v>
      </c>
      <c r="V458">
        <v>55.668082883805106</v>
      </c>
    </row>
    <row r="459" spans="1:22" x14ac:dyDescent="0.35">
      <c r="A459" t="s">
        <v>100</v>
      </c>
      <c r="B459" t="s">
        <v>6</v>
      </c>
      <c r="C459" t="s">
        <v>11</v>
      </c>
      <c r="D459">
        <v>0.97</v>
      </c>
      <c r="E459" t="s">
        <v>35</v>
      </c>
      <c r="F459" t="s">
        <v>34</v>
      </c>
      <c r="G459">
        <v>1</v>
      </c>
      <c r="H459">
        <v>1.4496</v>
      </c>
      <c r="I459" t="s">
        <v>47</v>
      </c>
      <c r="J459" s="1">
        <v>45328</v>
      </c>
      <c r="K459">
        <v>12.5085517296991</v>
      </c>
      <c r="L459" s="1">
        <v>45347</v>
      </c>
      <c r="M459" s="1">
        <v>45351</v>
      </c>
      <c r="N459">
        <v>137.59406902669099</v>
      </c>
      <c r="O459">
        <v>4</v>
      </c>
      <c r="P459" t="str">
        <f>IF(Table1[[#This Row],[Delivery Delay]]&gt;0,"Late","On Time")</f>
        <v>Late</v>
      </c>
      <c r="Q459">
        <v>12.50855172969918</v>
      </c>
      <c r="R459">
        <v>1.2634925947619445E-2</v>
      </c>
      <c r="S459">
        <v>7.2677551225410484E-3</v>
      </c>
      <c r="T459">
        <v>0.97</v>
      </c>
      <c r="U459">
        <v>0</v>
      </c>
      <c r="V459">
        <v>29.570731172628616</v>
      </c>
    </row>
    <row r="460" spans="1:22" x14ac:dyDescent="0.35">
      <c r="A460" t="s">
        <v>101</v>
      </c>
      <c r="B460" t="s">
        <v>8</v>
      </c>
      <c r="C460" t="s">
        <v>9</v>
      </c>
      <c r="D460">
        <v>0.62</v>
      </c>
      <c r="E460" t="s">
        <v>36</v>
      </c>
      <c r="F460" t="s">
        <v>39</v>
      </c>
      <c r="G460">
        <v>0</v>
      </c>
      <c r="H460">
        <v>546.11760000000004</v>
      </c>
      <c r="I460" t="s">
        <v>51</v>
      </c>
      <c r="J460" s="1">
        <v>45110</v>
      </c>
      <c r="K460">
        <v>34.357348654284401</v>
      </c>
      <c r="L460" s="1">
        <v>45121</v>
      </c>
      <c r="M460" s="1">
        <v>45118</v>
      </c>
      <c r="N460">
        <v>206.14409192570599</v>
      </c>
      <c r="O460">
        <v>-3</v>
      </c>
      <c r="P460" t="str">
        <f>IF(Table1[[#This Row],[Delivery Delay]]&gt;0,"Late","On Time")</f>
        <v>On Time</v>
      </c>
      <c r="Q460">
        <v>34.35734865428433</v>
      </c>
      <c r="R460">
        <v>0.34434130721644496</v>
      </c>
      <c r="S460">
        <v>4.8509757939625957E-3</v>
      </c>
      <c r="T460">
        <v>0.62</v>
      </c>
      <c r="U460">
        <v>1</v>
      </c>
      <c r="V460">
        <v>45.632355418147782</v>
      </c>
    </row>
    <row r="461" spans="1:22" x14ac:dyDescent="0.35">
      <c r="A461" t="s">
        <v>102</v>
      </c>
      <c r="B461" t="s">
        <v>13</v>
      </c>
      <c r="C461" t="s">
        <v>9</v>
      </c>
      <c r="D461">
        <v>0.88</v>
      </c>
      <c r="E461" t="s">
        <v>35</v>
      </c>
      <c r="F461" t="s">
        <v>39</v>
      </c>
      <c r="G461">
        <v>0</v>
      </c>
      <c r="H461">
        <v>330.56400000000002</v>
      </c>
      <c r="I461" t="s">
        <v>47</v>
      </c>
      <c r="J461" s="1">
        <v>44710</v>
      </c>
      <c r="K461">
        <v>58.9595326985919</v>
      </c>
      <c r="L461" s="1">
        <v>44734</v>
      </c>
      <c r="M461" s="1">
        <v>44731</v>
      </c>
      <c r="N461">
        <v>825.43345778028697</v>
      </c>
      <c r="O461">
        <v>-3</v>
      </c>
      <c r="P461" t="str">
        <f>IF(Table1[[#This Row],[Delivery Delay]]&gt;0,"Late","On Time")</f>
        <v>On Time</v>
      </c>
      <c r="Q461">
        <v>58.959532698591929</v>
      </c>
      <c r="R461">
        <v>0.34592877235282304</v>
      </c>
      <c r="S461">
        <v>1.2114846939802373E-3</v>
      </c>
      <c r="T461">
        <v>0.88</v>
      </c>
      <c r="U461">
        <v>1</v>
      </c>
      <c r="V461">
        <v>53.354919987875874</v>
      </c>
    </row>
    <row r="462" spans="1:22" x14ac:dyDescent="0.35">
      <c r="A462" t="s">
        <v>99</v>
      </c>
      <c r="B462" t="s">
        <v>8</v>
      </c>
      <c r="C462" t="s">
        <v>7</v>
      </c>
      <c r="D462">
        <v>0.96</v>
      </c>
      <c r="E462" t="s">
        <v>37</v>
      </c>
      <c r="F462" t="s">
        <v>39</v>
      </c>
      <c r="G462">
        <v>0</v>
      </c>
      <c r="H462">
        <v>176.49719999999999</v>
      </c>
      <c r="I462" t="s">
        <v>48</v>
      </c>
      <c r="J462" s="1">
        <v>44796</v>
      </c>
      <c r="K462">
        <v>64.533394148140005</v>
      </c>
      <c r="L462" s="1">
        <v>44819</v>
      </c>
      <c r="M462" s="1">
        <v>44825</v>
      </c>
      <c r="N462">
        <v>645.33394148139996</v>
      </c>
      <c r="O462">
        <v>6</v>
      </c>
      <c r="P462" t="str">
        <f>IF(Table1[[#This Row],[Delivery Delay]]&gt;0,"Late","On Time")</f>
        <v>Late</v>
      </c>
      <c r="Q462">
        <v>64.53339414813999</v>
      </c>
      <c r="R462">
        <v>0.34676156885674136</v>
      </c>
      <c r="S462">
        <v>1.549585316564079E-3</v>
      </c>
      <c r="T462">
        <v>0.96</v>
      </c>
      <c r="U462">
        <v>1</v>
      </c>
      <c r="V462">
        <v>55.781718936631755</v>
      </c>
    </row>
    <row r="463" spans="1:22" x14ac:dyDescent="0.35">
      <c r="A463" t="s">
        <v>103</v>
      </c>
      <c r="B463" t="s">
        <v>15</v>
      </c>
      <c r="C463" t="s">
        <v>9</v>
      </c>
      <c r="D463">
        <v>0.67</v>
      </c>
      <c r="E463" t="s">
        <v>35</v>
      </c>
      <c r="F463" t="s">
        <v>34</v>
      </c>
      <c r="G463">
        <v>1</v>
      </c>
      <c r="H463">
        <v>26.921199999999999</v>
      </c>
      <c r="I463" t="s">
        <v>46</v>
      </c>
      <c r="J463" s="1">
        <v>44238</v>
      </c>
      <c r="K463">
        <v>45.291430467186501</v>
      </c>
      <c r="L463" s="1">
        <v>44251</v>
      </c>
      <c r="M463" s="1">
        <v>44253</v>
      </c>
      <c r="N463">
        <v>724.66288747498402</v>
      </c>
      <c r="O463">
        <v>2</v>
      </c>
      <c r="P463" t="str">
        <f>IF(Table1[[#This Row],[Delivery Delay]]&gt;0,"Late","On Time")</f>
        <v>Late</v>
      </c>
      <c r="Q463">
        <v>45.291430467186501</v>
      </c>
      <c r="R463">
        <v>3.4868353225023484E-2</v>
      </c>
      <c r="S463">
        <v>1.3799519987623499E-3</v>
      </c>
      <c r="T463">
        <v>0.67</v>
      </c>
      <c r="U463">
        <v>0</v>
      </c>
      <c r="V463">
        <v>20.838765624463342</v>
      </c>
    </row>
    <row r="464" spans="1:22" x14ac:dyDescent="0.35">
      <c r="A464" t="s">
        <v>104</v>
      </c>
      <c r="B464" t="s">
        <v>12</v>
      </c>
      <c r="C464" t="s">
        <v>9</v>
      </c>
      <c r="D464">
        <v>0.82</v>
      </c>
      <c r="E464" t="s">
        <v>35</v>
      </c>
      <c r="F464" t="s">
        <v>39</v>
      </c>
      <c r="G464">
        <v>0</v>
      </c>
      <c r="H464">
        <v>706.8768</v>
      </c>
      <c r="I464" t="s">
        <v>46</v>
      </c>
      <c r="J464" s="1">
        <v>45274</v>
      </c>
      <c r="K464">
        <v>55.316271914808503</v>
      </c>
      <c r="L464" s="1">
        <v>45292</v>
      </c>
      <c r="M464" s="1">
        <v>45291</v>
      </c>
      <c r="N464">
        <v>829.74407872212805</v>
      </c>
      <c r="O464">
        <v>-1</v>
      </c>
      <c r="P464" t="str">
        <f>IF(Table1[[#This Row],[Delivery Delay]]&gt;0,"Late","On Time")</f>
        <v>On Time</v>
      </c>
      <c r="Q464">
        <v>55.316271914808539</v>
      </c>
      <c r="R464">
        <v>0.48827682702621161</v>
      </c>
      <c r="S464">
        <v>1.2051908843267428E-3</v>
      </c>
      <c r="T464">
        <v>0.82</v>
      </c>
      <c r="U464">
        <v>1</v>
      </c>
      <c r="V464">
        <v>54.401692267054024</v>
      </c>
    </row>
    <row r="465" spans="1:22" x14ac:dyDescent="0.35">
      <c r="A465" t="s">
        <v>105</v>
      </c>
      <c r="B465" t="s">
        <v>15</v>
      </c>
      <c r="C465" t="s">
        <v>9</v>
      </c>
      <c r="D465">
        <v>0.96</v>
      </c>
      <c r="E465" t="s">
        <v>37</v>
      </c>
      <c r="F465" t="s">
        <v>34</v>
      </c>
      <c r="G465">
        <v>1</v>
      </c>
      <c r="H465">
        <v>502.09079999999898</v>
      </c>
      <c r="I465" t="s">
        <v>51</v>
      </c>
      <c r="J465" s="1">
        <v>45124</v>
      </c>
      <c r="K465">
        <v>8.5556294173401408</v>
      </c>
      <c r="L465" s="1">
        <v>45141</v>
      </c>
      <c r="M465" s="1">
        <v>45141</v>
      </c>
      <c r="N465">
        <v>94.111923590741597</v>
      </c>
      <c r="O465">
        <v>0</v>
      </c>
      <c r="P465" t="str">
        <f>IF(Table1[[#This Row],[Delivery Delay]]&gt;0,"Late","On Time")</f>
        <v>On Time</v>
      </c>
      <c r="Q465">
        <v>8.5556294173401444</v>
      </c>
      <c r="R465">
        <v>0.50879117271167362</v>
      </c>
      <c r="S465">
        <v>1.0625646165183435E-2</v>
      </c>
      <c r="T465">
        <v>0.96</v>
      </c>
      <c r="U465">
        <v>0</v>
      </c>
      <c r="V465">
        <v>39.294592839188972</v>
      </c>
    </row>
    <row r="466" spans="1:22" x14ac:dyDescent="0.35">
      <c r="A466" t="s">
        <v>106</v>
      </c>
      <c r="B466" t="s">
        <v>15</v>
      </c>
      <c r="C466" t="s">
        <v>11</v>
      </c>
      <c r="D466">
        <v>0.61</v>
      </c>
      <c r="E466" t="s">
        <v>35</v>
      </c>
      <c r="F466" t="s">
        <v>34</v>
      </c>
      <c r="G466">
        <v>1</v>
      </c>
      <c r="H466">
        <v>381.55759999999901</v>
      </c>
      <c r="I466" t="s">
        <v>46</v>
      </c>
      <c r="J466" s="1">
        <v>44984</v>
      </c>
      <c r="K466">
        <v>10.419651811877101</v>
      </c>
      <c r="L466" s="1">
        <v>44999</v>
      </c>
      <c r="M466" s="1">
        <v>45005</v>
      </c>
      <c r="N466">
        <v>114.616169930648</v>
      </c>
      <c r="O466">
        <v>6</v>
      </c>
      <c r="P466" t="str">
        <f>IF(Table1[[#This Row],[Delivery Delay]]&gt;0,"Late","On Time")</f>
        <v>Late</v>
      </c>
      <c r="Q466">
        <v>10.41965181187709</v>
      </c>
      <c r="R466">
        <v>0.20950456985952795</v>
      </c>
      <c r="S466">
        <v>8.7247724348587154E-3</v>
      </c>
      <c r="T466">
        <v>0.61</v>
      </c>
      <c r="U466">
        <v>0</v>
      </c>
      <c r="V466">
        <v>22.751834570236319</v>
      </c>
    </row>
    <row r="467" spans="1:22" x14ac:dyDescent="0.35">
      <c r="A467" t="s">
        <v>108</v>
      </c>
      <c r="B467" t="s">
        <v>8</v>
      </c>
      <c r="C467" t="s">
        <v>5</v>
      </c>
      <c r="D467">
        <v>0.87</v>
      </c>
      <c r="E467" t="s">
        <v>37</v>
      </c>
      <c r="F467" t="s">
        <v>34</v>
      </c>
      <c r="G467">
        <v>1</v>
      </c>
      <c r="H467">
        <v>55.099200000000003</v>
      </c>
      <c r="I467" t="s">
        <v>45</v>
      </c>
      <c r="J467" s="1">
        <v>44277</v>
      </c>
      <c r="K467">
        <v>56.051303579535798</v>
      </c>
      <c r="L467" s="1">
        <v>44300</v>
      </c>
      <c r="M467" s="1">
        <v>44298</v>
      </c>
      <c r="N467">
        <v>504.461732215822</v>
      </c>
      <c r="O467">
        <v>-2</v>
      </c>
      <c r="P467" t="str">
        <f>IF(Table1[[#This Row],[Delivery Delay]]&gt;0,"Late","On Time")</f>
        <v>On Time</v>
      </c>
      <c r="Q467">
        <v>56.051303579535777</v>
      </c>
      <c r="R467">
        <v>0.45208042061319736</v>
      </c>
      <c r="S467">
        <v>1.9823109190216506E-3</v>
      </c>
      <c r="T467">
        <v>0.87</v>
      </c>
      <c r="U467">
        <v>0</v>
      </c>
      <c r="V467">
        <v>35.201077739834595</v>
      </c>
    </row>
    <row r="468" spans="1:22" x14ac:dyDescent="0.35">
      <c r="A468" t="s">
        <v>102</v>
      </c>
      <c r="B468" t="s">
        <v>13</v>
      </c>
      <c r="C468" t="s">
        <v>7</v>
      </c>
      <c r="D468">
        <v>0.72</v>
      </c>
      <c r="E468" t="s">
        <v>35</v>
      </c>
      <c r="F468" t="s">
        <v>39</v>
      </c>
      <c r="G468">
        <v>0</v>
      </c>
      <c r="H468">
        <v>506.0034</v>
      </c>
      <c r="I468" t="s">
        <v>46</v>
      </c>
      <c r="J468" s="1">
        <v>44620</v>
      </c>
      <c r="K468">
        <v>47.7200874253272</v>
      </c>
      <c r="L468" s="1">
        <v>44630</v>
      </c>
      <c r="M468" s="1">
        <v>44628</v>
      </c>
      <c r="N468">
        <v>477.20087425327199</v>
      </c>
      <c r="O468">
        <v>-2</v>
      </c>
      <c r="P468" t="str">
        <f>IF(Table1[[#This Row],[Delivery Delay]]&gt;0,"Late","On Time")</f>
        <v>On Time</v>
      </c>
      <c r="Q468">
        <v>47.7200874253272</v>
      </c>
      <c r="R468">
        <v>0.28429339015567151</v>
      </c>
      <c r="S468">
        <v>2.0955535791186649E-3</v>
      </c>
      <c r="T468">
        <v>0.72</v>
      </c>
      <c r="U468">
        <v>1</v>
      </c>
      <c r="V468">
        <v>47.34873441048699</v>
      </c>
    </row>
    <row r="469" spans="1:22" x14ac:dyDescent="0.35">
      <c r="A469" t="s">
        <v>99</v>
      </c>
      <c r="B469" t="s">
        <v>13</v>
      </c>
      <c r="C469" t="s">
        <v>7</v>
      </c>
      <c r="D469">
        <v>0.96</v>
      </c>
      <c r="E469" t="s">
        <v>36</v>
      </c>
      <c r="F469" t="s">
        <v>34</v>
      </c>
      <c r="G469">
        <v>1</v>
      </c>
      <c r="H469">
        <v>20.222799999999999</v>
      </c>
      <c r="I469" t="s">
        <v>47</v>
      </c>
      <c r="J469" s="1">
        <v>44962</v>
      </c>
      <c r="K469">
        <v>30.1010818390642</v>
      </c>
      <c r="L469" s="1">
        <v>44975</v>
      </c>
      <c r="M469" s="1">
        <v>44981</v>
      </c>
      <c r="N469">
        <v>301.01081839064199</v>
      </c>
      <c r="O469">
        <v>6</v>
      </c>
      <c r="P469" t="str">
        <f>IF(Table1[[#This Row],[Delivery Delay]]&gt;0,"Late","On Time")</f>
        <v>Late</v>
      </c>
      <c r="Q469">
        <v>30.1010818390642</v>
      </c>
      <c r="R469">
        <v>0.10267319514141757</v>
      </c>
      <c r="S469">
        <v>3.3221397335368615E-3</v>
      </c>
      <c r="T469">
        <v>0.96</v>
      </c>
      <c r="U469">
        <v>0</v>
      </c>
      <c r="V469">
        <v>30.953128094834454</v>
      </c>
    </row>
    <row r="470" spans="1:22" x14ac:dyDescent="0.35">
      <c r="A470" t="s">
        <v>103</v>
      </c>
      <c r="B470" t="s">
        <v>6</v>
      </c>
      <c r="C470" t="s">
        <v>9</v>
      </c>
      <c r="D470">
        <v>0.98</v>
      </c>
      <c r="E470" t="s">
        <v>38</v>
      </c>
      <c r="F470" t="s">
        <v>34</v>
      </c>
      <c r="G470">
        <v>1</v>
      </c>
      <c r="H470">
        <v>117.351</v>
      </c>
      <c r="I470" t="s">
        <v>47</v>
      </c>
      <c r="J470" s="1">
        <v>44406</v>
      </c>
      <c r="K470">
        <v>71.428141746603302</v>
      </c>
      <c r="L470" s="1">
        <v>44418</v>
      </c>
      <c r="M470" s="1">
        <v>44420</v>
      </c>
      <c r="N470">
        <v>857.13770095923906</v>
      </c>
      <c r="O470">
        <v>2</v>
      </c>
      <c r="P470" t="str">
        <f>IF(Table1[[#This Row],[Delivery Delay]]&gt;0,"Late","On Time")</f>
        <v>Late</v>
      </c>
      <c r="Q470">
        <v>71.428141746603259</v>
      </c>
      <c r="R470">
        <v>0.17070701340187738</v>
      </c>
      <c r="S470">
        <v>1.1666736848476983E-3</v>
      </c>
      <c r="T470">
        <v>0.98</v>
      </c>
      <c r="U470">
        <v>0</v>
      </c>
      <c r="V470">
        <v>32.849140478582974</v>
      </c>
    </row>
    <row r="471" spans="1:22" x14ac:dyDescent="0.35">
      <c r="A471" t="s">
        <v>104</v>
      </c>
      <c r="B471" t="s">
        <v>4</v>
      </c>
      <c r="C471" t="s">
        <v>9</v>
      </c>
      <c r="D471">
        <v>0.97</v>
      </c>
      <c r="E471" t="s">
        <v>38</v>
      </c>
      <c r="F471" t="s">
        <v>39</v>
      </c>
      <c r="G471">
        <v>0</v>
      </c>
      <c r="H471">
        <v>535.45519999999897</v>
      </c>
      <c r="I471" t="s">
        <v>50</v>
      </c>
      <c r="J471" s="1">
        <v>45113</v>
      </c>
      <c r="K471">
        <v>58.136761708081103</v>
      </c>
      <c r="L471" s="1">
        <v>45133</v>
      </c>
      <c r="M471" s="1">
        <v>45132</v>
      </c>
      <c r="N471">
        <v>813.914663913136</v>
      </c>
      <c r="O471">
        <v>-1</v>
      </c>
      <c r="P471" t="str">
        <f>IF(Table1[[#This Row],[Delivery Delay]]&gt;0,"Late","On Time")</f>
        <v>On Time</v>
      </c>
      <c r="Q471">
        <v>58.136761708081146</v>
      </c>
      <c r="R471">
        <v>0.2921681684985053</v>
      </c>
      <c r="S471">
        <v>1.2286300325297047E-3</v>
      </c>
      <c r="T471">
        <v>0.97</v>
      </c>
      <c r="U471">
        <v>1</v>
      </c>
      <c r="V471">
        <v>54.980222270945987</v>
      </c>
    </row>
    <row r="472" spans="1:22" x14ac:dyDescent="0.35">
      <c r="A472" t="s">
        <v>105</v>
      </c>
      <c r="B472" t="s">
        <v>12</v>
      </c>
      <c r="C472" t="s">
        <v>7</v>
      </c>
      <c r="D472">
        <v>0.78</v>
      </c>
      <c r="E472" t="s">
        <v>38</v>
      </c>
      <c r="F472" t="s">
        <v>34</v>
      </c>
      <c r="G472">
        <v>1</v>
      </c>
      <c r="H472">
        <v>247.75800000000001</v>
      </c>
      <c r="I472" t="s">
        <v>47</v>
      </c>
      <c r="J472" s="1">
        <v>45274</v>
      </c>
      <c r="K472">
        <v>28.437389326673799</v>
      </c>
      <c r="L472" s="1">
        <v>45291</v>
      </c>
      <c r="M472" s="1">
        <v>45296</v>
      </c>
      <c r="N472">
        <v>369.68606124676</v>
      </c>
      <c r="O472">
        <v>5</v>
      </c>
      <c r="P472" t="str">
        <f>IF(Table1[[#This Row],[Delivery Delay]]&gt;0,"Late","On Time")</f>
        <v>Late</v>
      </c>
      <c r="Q472">
        <v>28.437389326673845</v>
      </c>
      <c r="R472">
        <v>0.85664792647760513</v>
      </c>
      <c r="S472">
        <v>2.7049978477076382E-3</v>
      </c>
      <c r="T472">
        <v>0.78</v>
      </c>
      <c r="U472">
        <v>0</v>
      </c>
      <c r="V472">
        <v>40.614108464983332</v>
      </c>
    </row>
    <row r="473" spans="1:22" x14ac:dyDescent="0.35">
      <c r="A473" t="s">
        <v>106</v>
      </c>
      <c r="B473" t="s">
        <v>8</v>
      </c>
      <c r="C473" t="s">
        <v>9</v>
      </c>
      <c r="D473">
        <v>0.94</v>
      </c>
      <c r="E473" t="s">
        <v>36</v>
      </c>
      <c r="F473" t="s">
        <v>34</v>
      </c>
      <c r="G473">
        <v>1</v>
      </c>
      <c r="H473">
        <v>96.644399999999905</v>
      </c>
      <c r="I473" t="s">
        <v>50</v>
      </c>
      <c r="J473" s="1">
        <v>44906</v>
      </c>
      <c r="K473">
        <v>19.7375151714438</v>
      </c>
      <c r="L473" s="1">
        <v>44925</v>
      </c>
      <c r="M473" s="1">
        <v>44922</v>
      </c>
      <c r="N473">
        <v>236.85018205732601</v>
      </c>
      <c r="O473">
        <v>-3</v>
      </c>
      <c r="P473" t="str">
        <f>IF(Table1[[#This Row],[Delivery Delay]]&gt;0,"Late","On Time")</f>
        <v>On Time</v>
      </c>
      <c r="Q473">
        <v>19.737515171443835</v>
      </c>
      <c r="R473">
        <v>9.8307327427838251E-2</v>
      </c>
      <c r="S473">
        <v>4.2220782408263682E-3</v>
      </c>
      <c r="T473">
        <v>0.94</v>
      </c>
      <c r="U473">
        <v>0</v>
      </c>
      <c r="V473">
        <v>30.292808895781555</v>
      </c>
    </row>
    <row r="474" spans="1:22" x14ac:dyDescent="0.35">
      <c r="A474" t="s">
        <v>108</v>
      </c>
      <c r="B474" t="s">
        <v>6</v>
      </c>
      <c r="C474" t="s">
        <v>11</v>
      </c>
      <c r="D474">
        <v>0.93</v>
      </c>
      <c r="E474" t="s">
        <v>38</v>
      </c>
      <c r="F474" t="s">
        <v>34</v>
      </c>
      <c r="G474">
        <v>1</v>
      </c>
      <c r="H474">
        <v>237.59799999999899</v>
      </c>
      <c r="I474" t="s">
        <v>47</v>
      </c>
      <c r="J474" s="1">
        <v>44931</v>
      </c>
      <c r="K474">
        <v>44.082646103096998</v>
      </c>
      <c r="L474" s="1">
        <v>44942</v>
      </c>
      <c r="M474" s="1">
        <v>44942</v>
      </c>
      <c r="N474">
        <v>617.15704544335802</v>
      </c>
      <c r="O474">
        <v>0</v>
      </c>
      <c r="P474" t="str">
        <f>IF(Table1[[#This Row],[Delivery Delay]]&gt;0,"Late","On Time")</f>
        <v>On Time</v>
      </c>
      <c r="Q474">
        <v>44.082646103096998</v>
      </c>
      <c r="R474">
        <v>0.42485265928532495</v>
      </c>
      <c r="S474">
        <v>1.6203331184230624E-3</v>
      </c>
      <c r="T474">
        <v>0.93</v>
      </c>
      <c r="U474">
        <v>0</v>
      </c>
      <c r="V474">
        <v>36.445663179259192</v>
      </c>
    </row>
    <row r="475" spans="1:22" x14ac:dyDescent="0.35">
      <c r="A475" t="s">
        <v>107</v>
      </c>
      <c r="B475" t="s">
        <v>10</v>
      </c>
      <c r="C475" t="s">
        <v>7</v>
      </c>
      <c r="D475">
        <v>0.72</v>
      </c>
      <c r="E475" t="s">
        <v>37</v>
      </c>
      <c r="F475" t="s">
        <v>34</v>
      </c>
      <c r="G475">
        <v>1</v>
      </c>
      <c r="H475">
        <v>814.38</v>
      </c>
      <c r="I475" t="s">
        <v>45</v>
      </c>
      <c r="J475" s="1">
        <v>44227</v>
      </c>
      <c r="K475">
        <v>63.542529323189797</v>
      </c>
      <c r="L475" s="1">
        <v>44240</v>
      </c>
      <c r="M475" s="1">
        <v>44238</v>
      </c>
      <c r="N475">
        <v>635.42529323189797</v>
      </c>
      <c r="O475">
        <v>-2</v>
      </c>
      <c r="P475" t="str">
        <f>IF(Table1[[#This Row],[Delivery Delay]]&gt;0,"Late","On Time")</f>
        <v>On Time</v>
      </c>
      <c r="Q475">
        <v>63.542529323189797</v>
      </c>
      <c r="R475">
        <v>0.80729197644679718</v>
      </c>
      <c r="S475">
        <v>1.5737491262171881E-3</v>
      </c>
      <c r="T475">
        <v>0.72</v>
      </c>
      <c r="U475">
        <v>0</v>
      </c>
      <c r="V475">
        <v>37.793052002722462</v>
      </c>
    </row>
    <row r="476" spans="1:22" x14ac:dyDescent="0.35">
      <c r="A476" t="s">
        <v>100</v>
      </c>
      <c r="B476" t="s">
        <v>4</v>
      </c>
      <c r="C476" t="s">
        <v>9</v>
      </c>
      <c r="D476">
        <v>0.92</v>
      </c>
      <c r="E476" t="s">
        <v>37</v>
      </c>
      <c r="F476" t="s">
        <v>34</v>
      </c>
      <c r="G476">
        <v>1</v>
      </c>
      <c r="H476">
        <v>739.09199999999998</v>
      </c>
      <c r="I476" t="s">
        <v>50</v>
      </c>
      <c r="J476" s="1">
        <v>44663</v>
      </c>
      <c r="K476">
        <v>52.250128102868899</v>
      </c>
      <c r="L476" s="1">
        <v>44684</v>
      </c>
      <c r="M476" s="1">
        <v>44681</v>
      </c>
      <c r="N476">
        <v>522.50128102868905</v>
      </c>
      <c r="O476">
        <v>-3</v>
      </c>
      <c r="P476" t="str">
        <f>IF(Table1[[#This Row],[Delivery Delay]]&gt;0,"Late","On Time")</f>
        <v>On Time</v>
      </c>
      <c r="Q476">
        <v>52.250128102868906</v>
      </c>
      <c r="R476">
        <v>0.47861461231213964</v>
      </c>
      <c r="S476">
        <v>1.9138709057922728E-3</v>
      </c>
      <c r="T476">
        <v>0.92</v>
      </c>
      <c r="U476">
        <v>0</v>
      </c>
      <c r="V476">
        <v>37.229708373416564</v>
      </c>
    </row>
    <row r="477" spans="1:22" x14ac:dyDescent="0.35">
      <c r="A477" t="s">
        <v>101</v>
      </c>
      <c r="B477" t="s">
        <v>4</v>
      </c>
      <c r="C477" t="s">
        <v>7</v>
      </c>
      <c r="D477">
        <v>0.61</v>
      </c>
      <c r="E477" t="s">
        <v>38</v>
      </c>
      <c r="F477" t="s">
        <v>39</v>
      </c>
      <c r="G477">
        <v>0</v>
      </c>
      <c r="H477">
        <v>53.154000000000103</v>
      </c>
      <c r="I477" t="s">
        <v>49</v>
      </c>
      <c r="J477" s="1">
        <v>45034</v>
      </c>
      <c r="K477">
        <v>51.8332013936975</v>
      </c>
      <c r="L477" s="1">
        <v>45057</v>
      </c>
      <c r="M477" s="1">
        <v>45058</v>
      </c>
      <c r="N477">
        <v>725.66481951176502</v>
      </c>
      <c r="O477">
        <v>1</v>
      </c>
      <c r="P477" t="str">
        <f>IF(Table1[[#This Row],[Delivery Delay]]&gt;0,"Late","On Time")</f>
        <v>Late</v>
      </c>
      <c r="Q477">
        <v>51.8332013936975</v>
      </c>
      <c r="R477">
        <v>5.9552699332477477E-2</v>
      </c>
      <c r="S477">
        <v>1.3780466864478983E-3</v>
      </c>
      <c r="T477">
        <v>0.61</v>
      </c>
      <c r="U477">
        <v>1</v>
      </c>
      <c r="V477">
        <v>39.532395387242985</v>
      </c>
    </row>
    <row r="478" spans="1:22" x14ac:dyDescent="0.35">
      <c r="A478" t="s">
        <v>102</v>
      </c>
      <c r="B478" t="s">
        <v>8</v>
      </c>
      <c r="C478" t="s">
        <v>5</v>
      </c>
      <c r="D478">
        <v>0.83</v>
      </c>
      <c r="E478" t="s">
        <v>36</v>
      </c>
      <c r="F478" t="s">
        <v>34</v>
      </c>
      <c r="G478">
        <v>1</v>
      </c>
      <c r="H478">
        <v>-84.305599999999998</v>
      </c>
      <c r="I478" t="s">
        <v>48</v>
      </c>
      <c r="J478" s="1">
        <v>44251</v>
      </c>
      <c r="K478">
        <v>31.206183673390999</v>
      </c>
      <c r="L478" s="1">
        <v>44262</v>
      </c>
      <c r="M478" s="1">
        <v>44259</v>
      </c>
      <c r="N478">
        <v>218.443285713737</v>
      </c>
      <c r="O478">
        <v>-3</v>
      </c>
      <c r="P478" t="str">
        <f>IF(Table1[[#This Row],[Delivery Delay]]&gt;0,"Late","On Time")</f>
        <v>On Time</v>
      </c>
      <c r="Q478">
        <v>31.206183673390999</v>
      </c>
      <c r="R478">
        <v>0</v>
      </c>
      <c r="S478">
        <v>4.5778472738707485E-3</v>
      </c>
      <c r="T478">
        <v>0.83</v>
      </c>
      <c r="U478">
        <v>0</v>
      </c>
      <c r="V478">
        <v>25.037335418216124</v>
      </c>
    </row>
    <row r="479" spans="1:22" x14ac:dyDescent="0.35">
      <c r="A479" t="s">
        <v>99</v>
      </c>
      <c r="B479" t="s">
        <v>14</v>
      </c>
      <c r="C479" t="s">
        <v>9</v>
      </c>
      <c r="D479">
        <v>0.69</v>
      </c>
      <c r="E479" t="s">
        <v>38</v>
      </c>
      <c r="F479" t="s">
        <v>34</v>
      </c>
      <c r="G479">
        <v>1</v>
      </c>
      <c r="H479">
        <v>234.48</v>
      </c>
      <c r="I479" t="s">
        <v>51</v>
      </c>
      <c r="J479" s="1">
        <v>44857</v>
      </c>
      <c r="K479">
        <v>20.473486013183098</v>
      </c>
      <c r="L479" s="1">
        <v>44872</v>
      </c>
      <c r="M479" s="1">
        <v>44870</v>
      </c>
      <c r="N479">
        <v>122.84091607909799</v>
      </c>
      <c r="O479">
        <v>-2</v>
      </c>
      <c r="P479" t="str">
        <f>IF(Table1[[#This Row],[Delivery Delay]]&gt;0,"Late","On Time")</f>
        <v>On Time</v>
      </c>
      <c r="Q479">
        <v>20.473486013182999</v>
      </c>
      <c r="R479">
        <v>0.90212373037857796</v>
      </c>
      <c r="S479">
        <v>8.1406100826868968E-3</v>
      </c>
      <c r="T479">
        <v>0.69</v>
      </c>
      <c r="U479">
        <v>0</v>
      </c>
      <c r="V479">
        <v>38.98669291005217</v>
      </c>
    </row>
    <row r="480" spans="1:22" x14ac:dyDescent="0.35">
      <c r="A480" t="s">
        <v>103</v>
      </c>
      <c r="B480" t="s">
        <v>12</v>
      </c>
      <c r="C480" t="s">
        <v>7</v>
      </c>
      <c r="D480">
        <v>0.65</v>
      </c>
      <c r="E480" t="s">
        <v>35</v>
      </c>
      <c r="F480" t="s">
        <v>34</v>
      </c>
      <c r="G480">
        <v>1</v>
      </c>
      <c r="H480">
        <v>25.388399999999901</v>
      </c>
      <c r="I480" t="s">
        <v>47</v>
      </c>
      <c r="J480" s="1">
        <v>44923</v>
      </c>
      <c r="K480">
        <v>3.3954945593600101</v>
      </c>
      <c r="L480" s="1">
        <v>44939</v>
      </c>
      <c r="M480" s="1">
        <v>44943</v>
      </c>
      <c r="N480">
        <v>37.350440152960203</v>
      </c>
      <c r="O480">
        <v>4</v>
      </c>
      <c r="P480" t="str">
        <f>IF(Table1[[#This Row],[Delivery Delay]]&gt;0,"Late","On Time")</f>
        <v>Late</v>
      </c>
      <c r="Q480">
        <v>3.3954945593600185</v>
      </c>
      <c r="R480">
        <v>0.1040387102484793</v>
      </c>
      <c r="S480">
        <v>2.6773446200492636E-2</v>
      </c>
      <c r="T480">
        <v>0.65</v>
      </c>
      <c r="U480">
        <v>0</v>
      </c>
      <c r="V480">
        <v>22.383977590984365</v>
      </c>
    </row>
    <row r="481" spans="1:22" x14ac:dyDescent="0.35">
      <c r="A481" t="s">
        <v>104</v>
      </c>
      <c r="B481" t="s">
        <v>4</v>
      </c>
      <c r="C481" t="s">
        <v>9</v>
      </c>
      <c r="D481">
        <v>0.63</v>
      </c>
      <c r="E481" t="s">
        <v>37</v>
      </c>
      <c r="F481" t="s">
        <v>34</v>
      </c>
      <c r="G481">
        <v>1</v>
      </c>
      <c r="H481">
        <v>-207.36179999999899</v>
      </c>
      <c r="I481" t="s">
        <v>46</v>
      </c>
      <c r="J481" s="1">
        <v>45115</v>
      </c>
      <c r="K481">
        <v>20.0075812714385</v>
      </c>
      <c r="L481" s="1">
        <v>45137</v>
      </c>
      <c r="M481" s="1">
        <v>45134</v>
      </c>
      <c r="N481">
        <v>200.07581271438499</v>
      </c>
      <c r="O481">
        <v>-3</v>
      </c>
      <c r="P481" t="str">
        <f>IF(Table1[[#This Row],[Delivery Delay]]&gt;0,"Late","On Time")</f>
        <v>On Time</v>
      </c>
      <c r="Q481">
        <v>20.0075812714385</v>
      </c>
      <c r="R481">
        <v>0</v>
      </c>
      <c r="S481">
        <v>4.9981054003140997E-3</v>
      </c>
      <c r="T481">
        <v>0.63</v>
      </c>
      <c r="U481">
        <v>0</v>
      </c>
      <c r="V481">
        <v>19.049943162009424</v>
      </c>
    </row>
    <row r="482" spans="1:22" x14ac:dyDescent="0.35">
      <c r="A482" t="s">
        <v>105</v>
      </c>
      <c r="B482" t="s">
        <v>8</v>
      </c>
      <c r="C482" t="s">
        <v>9</v>
      </c>
      <c r="D482">
        <v>0.87</v>
      </c>
      <c r="E482" t="s">
        <v>38</v>
      </c>
      <c r="F482" t="s">
        <v>34</v>
      </c>
      <c r="G482">
        <v>1</v>
      </c>
      <c r="H482">
        <v>562.04399999999896</v>
      </c>
      <c r="I482" t="s">
        <v>47</v>
      </c>
      <c r="J482" s="1">
        <v>45249</v>
      </c>
      <c r="K482">
        <v>24.911667842685599</v>
      </c>
      <c r="L482" s="1">
        <v>45261</v>
      </c>
      <c r="M482" s="1">
        <v>45260</v>
      </c>
      <c r="N482">
        <v>274.028346269542</v>
      </c>
      <c r="O482">
        <v>-1</v>
      </c>
      <c r="P482" t="str">
        <f>IF(Table1[[#This Row],[Delivery Delay]]&gt;0,"Late","On Time")</f>
        <v>On Time</v>
      </c>
      <c r="Q482">
        <v>24.911667842685635</v>
      </c>
      <c r="R482">
        <v>0.65975039441063743</v>
      </c>
      <c r="S482">
        <v>3.6492575078943541E-3</v>
      </c>
      <c r="T482">
        <v>0.87</v>
      </c>
      <c r="U482">
        <v>0</v>
      </c>
      <c r="V482">
        <v>39.40448561344958</v>
      </c>
    </row>
    <row r="483" spans="1:22" x14ac:dyDescent="0.35">
      <c r="A483" t="s">
        <v>106</v>
      </c>
      <c r="B483" t="s">
        <v>8</v>
      </c>
      <c r="C483" t="s">
        <v>9</v>
      </c>
      <c r="D483">
        <v>0.73</v>
      </c>
      <c r="E483" t="s">
        <v>37</v>
      </c>
      <c r="F483" t="s">
        <v>34</v>
      </c>
      <c r="G483">
        <v>1</v>
      </c>
      <c r="H483">
        <v>512.58899999999903</v>
      </c>
      <c r="I483" t="s">
        <v>46</v>
      </c>
      <c r="J483" s="1">
        <v>44551</v>
      </c>
      <c r="K483">
        <v>38.998950283533098</v>
      </c>
      <c r="L483" s="1">
        <v>44573</v>
      </c>
      <c r="M483" s="1">
        <v>44574</v>
      </c>
      <c r="N483">
        <v>428.98845311886402</v>
      </c>
      <c r="O483">
        <v>1</v>
      </c>
      <c r="P483" t="str">
        <f>IF(Table1[[#This Row],[Delivery Delay]]&gt;0,"Late","On Time")</f>
        <v>Late</v>
      </c>
      <c r="Q483">
        <v>38.998950283533091</v>
      </c>
      <c r="R483">
        <v>0.51396179194628755</v>
      </c>
      <c r="S483">
        <v>2.3310650734995894E-3</v>
      </c>
      <c r="T483">
        <v>0.73</v>
      </c>
      <c r="U483">
        <v>0</v>
      </c>
      <c r="V483">
        <v>32.249167791130738</v>
      </c>
    </row>
    <row r="484" spans="1:22" x14ac:dyDescent="0.35">
      <c r="A484" t="s">
        <v>108</v>
      </c>
      <c r="B484" t="s">
        <v>6</v>
      </c>
      <c r="C484" t="s">
        <v>7</v>
      </c>
      <c r="D484">
        <v>0.88</v>
      </c>
      <c r="E484" t="s">
        <v>37</v>
      </c>
      <c r="F484" t="s">
        <v>34</v>
      </c>
      <c r="G484">
        <v>1</v>
      </c>
      <c r="H484">
        <v>415.56499999999897</v>
      </c>
      <c r="I484" t="s">
        <v>48</v>
      </c>
      <c r="J484" s="1">
        <v>44765</v>
      </c>
      <c r="K484">
        <v>24.951529197011201</v>
      </c>
      <c r="L484" s="1">
        <v>44777</v>
      </c>
      <c r="M484" s="1">
        <v>44781</v>
      </c>
      <c r="N484">
        <v>174.660704379078</v>
      </c>
      <c r="O484">
        <v>4</v>
      </c>
      <c r="P484" t="str">
        <f>IF(Table1[[#This Row],[Delivery Delay]]&gt;0,"Late","On Time")</f>
        <v>Late</v>
      </c>
      <c r="Q484">
        <v>24.951529197011144</v>
      </c>
      <c r="R484">
        <v>0.4373378656409328</v>
      </c>
      <c r="S484">
        <v>5.7253862770966042E-3</v>
      </c>
      <c r="T484">
        <v>0.88</v>
      </c>
      <c r="U484">
        <v>0</v>
      </c>
      <c r="V484">
        <v>35.318518901131554</v>
      </c>
    </row>
    <row r="485" spans="1:22" x14ac:dyDescent="0.35">
      <c r="A485" t="s">
        <v>103</v>
      </c>
      <c r="B485" t="s">
        <v>10</v>
      </c>
      <c r="C485" t="s">
        <v>5</v>
      </c>
      <c r="D485">
        <v>0.63</v>
      </c>
      <c r="E485" t="s">
        <v>35</v>
      </c>
      <c r="F485" t="s">
        <v>34</v>
      </c>
      <c r="G485">
        <v>1</v>
      </c>
      <c r="H485">
        <v>275.44439999999997</v>
      </c>
      <c r="I485" t="s">
        <v>48</v>
      </c>
      <c r="J485" s="1">
        <v>44794</v>
      </c>
      <c r="K485">
        <v>50.795884548037598</v>
      </c>
      <c r="L485" s="1">
        <v>44818</v>
      </c>
      <c r="M485" s="1">
        <v>44815</v>
      </c>
      <c r="N485">
        <v>406.36707638430101</v>
      </c>
      <c r="O485">
        <v>-3</v>
      </c>
      <c r="P485" t="str">
        <f>IF(Table1[[#This Row],[Delivery Delay]]&gt;0,"Late","On Time")</f>
        <v>On Time</v>
      </c>
      <c r="Q485">
        <v>50.795884548037627</v>
      </c>
      <c r="R485">
        <v>0.39392847274780457</v>
      </c>
      <c r="S485">
        <v>2.460829280013573E-3</v>
      </c>
      <c r="T485">
        <v>0.63</v>
      </c>
      <c r="U485">
        <v>0</v>
      </c>
      <c r="V485">
        <v>26.8523943333565</v>
      </c>
    </row>
    <row r="486" spans="1:22" x14ac:dyDescent="0.35">
      <c r="A486" t="s">
        <v>104</v>
      </c>
      <c r="B486" t="s">
        <v>14</v>
      </c>
      <c r="C486" t="s">
        <v>9</v>
      </c>
      <c r="D486">
        <v>0.72</v>
      </c>
      <c r="E486" t="s">
        <v>37</v>
      </c>
      <c r="F486" t="s">
        <v>34</v>
      </c>
      <c r="G486">
        <v>1</v>
      </c>
      <c r="H486">
        <v>561.83699999999897</v>
      </c>
      <c r="I486" t="s">
        <v>48</v>
      </c>
      <c r="J486" s="1">
        <v>44800</v>
      </c>
      <c r="K486">
        <v>33.672971062004699</v>
      </c>
      <c r="L486" s="1">
        <v>44811</v>
      </c>
      <c r="M486" s="1">
        <v>44813</v>
      </c>
      <c r="N486">
        <v>303.05673955804201</v>
      </c>
      <c r="O486">
        <v>2</v>
      </c>
      <c r="P486" t="str">
        <f>IF(Table1[[#This Row],[Delivery Delay]]&gt;0,"Late","On Time")</f>
        <v>Late</v>
      </c>
      <c r="Q486">
        <v>33.67297106200467</v>
      </c>
      <c r="R486">
        <v>0.64207227808652612</v>
      </c>
      <c r="S486">
        <v>3.2997121313267414E-3</v>
      </c>
      <c r="T486">
        <v>0.72</v>
      </c>
      <c r="U486">
        <v>0</v>
      </c>
      <c r="V486">
        <v>34.540436925670328</v>
      </c>
    </row>
    <row r="487" spans="1:22" x14ac:dyDescent="0.35">
      <c r="A487" t="s">
        <v>105</v>
      </c>
      <c r="B487" t="s">
        <v>12</v>
      </c>
      <c r="C487" t="s">
        <v>7</v>
      </c>
      <c r="D487">
        <v>0.81</v>
      </c>
      <c r="E487" t="s">
        <v>38</v>
      </c>
      <c r="F487" t="s">
        <v>34</v>
      </c>
      <c r="G487">
        <v>1</v>
      </c>
      <c r="H487">
        <v>-24.098799999999901</v>
      </c>
      <c r="I487" t="s">
        <v>46</v>
      </c>
      <c r="J487" s="1">
        <v>44863</v>
      </c>
      <c r="K487">
        <v>41.170682316881397</v>
      </c>
      <c r="L487" s="1">
        <v>44876</v>
      </c>
      <c r="M487" s="1">
        <v>44879</v>
      </c>
      <c r="N487">
        <v>411.70682316881403</v>
      </c>
      <c r="O487">
        <v>3</v>
      </c>
      <c r="P487" t="str">
        <f>IF(Table1[[#This Row],[Delivery Delay]]&gt;0,"Late","On Time")</f>
        <v>Late</v>
      </c>
      <c r="Q487">
        <v>41.170682316881404</v>
      </c>
      <c r="R487">
        <v>0</v>
      </c>
      <c r="S487">
        <v>2.4289128664500307E-3</v>
      </c>
      <c r="T487">
        <v>0.81</v>
      </c>
      <c r="U487">
        <v>0</v>
      </c>
      <c r="V487">
        <v>24.372867385993498</v>
      </c>
    </row>
    <row r="488" spans="1:22" x14ac:dyDescent="0.35">
      <c r="A488" t="s">
        <v>106</v>
      </c>
      <c r="B488" t="s">
        <v>13</v>
      </c>
      <c r="C488" t="s">
        <v>9</v>
      </c>
      <c r="D488">
        <v>0.91</v>
      </c>
      <c r="E488" t="s">
        <v>38</v>
      </c>
      <c r="F488" t="s">
        <v>34</v>
      </c>
      <c r="G488">
        <v>1</v>
      </c>
      <c r="H488">
        <v>274.98750000000001</v>
      </c>
      <c r="I488" t="s">
        <v>47</v>
      </c>
      <c r="J488" s="1">
        <v>44373</v>
      </c>
      <c r="K488">
        <v>55.524191077172901</v>
      </c>
      <c r="L488" s="1">
        <v>44397</v>
      </c>
      <c r="M488" s="1">
        <v>44394</v>
      </c>
      <c r="N488">
        <v>166.57257323151799</v>
      </c>
      <c r="O488">
        <v>-3</v>
      </c>
      <c r="P488" t="str">
        <f>IF(Table1[[#This Row],[Delivery Delay]]&gt;0,"Late","On Time")</f>
        <v>On Time</v>
      </c>
      <c r="Q488">
        <v>55.524191077172667</v>
      </c>
      <c r="R488">
        <v>0.36164126843221384</v>
      </c>
      <c r="S488">
        <v>6.0033892771177121E-3</v>
      </c>
      <c r="T488">
        <v>0.91</v>
      </c>
      <c r="U488">
        <v>0</v>
      </c>
      <c r="V488">
        <v>34.712927046957809</v>
      </c>
    </row>
    <row r="489" spans="1:22" x14ac:dyDescent="0.35">
      <c r="A489" t="s">
        <v>108</v>
      </c>
      <c r="B489" t="s">
        <v>15</v>
      </c>
      <c r="C489" t="s">
        <v>11</v>
      </c>
      <c r="D489">
        <v>0.72</v>
      </c>
      <c r="E489" t="s">
        <v>36</v>
      </c>
      <c r="F489" t="s">
        <v>34</v>
      </c>
      <c r="G489">
        <v>1</v>
      </c>
      <c r="H489">
        <v>-16.995899999999899</v>
      </c>
      <c r="I489" t="s">
        <v>48</v>
      </c>
      <c r="J489" s="1">
        <v>44474</v>
      </c>
      <c r="K489">
        <v>5.0244432684317903</v>
      </c>
      <c r="L489" s="1">
        <v>44492</v>
      </c>
      <c r="M489" s="1">
        <v>44496</v>
      </c>
      <c r="N489">
        <v>90.439978831772294</v>
      </c>
      <c r="O489">
        <v>4</v>
      </c>
      <c r="P489" t="str">
        <f>IF(Table1[[#This Row],[Delivery Delay]]&gt;0,"Late","On Time")</f>
        <v>Late</v>
      </c>
      <c r="Q489">
        <v>5.0244432684317939</v>
      </c>
      <c r="R489">
        <v>0</v>
      </c>
      <c r="S489">
        <v>1.1057056988703009E-2</v>
      </c>
      <c r="T489">
        <v>0.72</v>
      </c>
      <c r="U489">
        <v>0</v>
      </c>
      <c r="V489">
        <v>21.931711709661091</v>
      </c>
    </row>
    <row r="490" spans="1:22" x14ac:dyDescent="0.35">
      <c r="A490" t="s">
        <v>107</v>
      </c>
      <c r="B490" t="s">
        <v>10</v>
      </c>
      <c r="C490" t="s">
        <v>9</v>
      </c>
      <c r="D490">
        <v>0.84</v>
      </c>
      <c r="E490" t="s">
        <v>37</v>
      </c>
      <c r="F490" t="s">
        <v>34</v>
      </c>
      <c r="G490">
        <v>1</v>
      </c>
      <c r="H490">
        <v>399.3528</v>
      </c>
      <c r="I490" t="s">
        <v>45</v>
      </c>
      <c r="J490" s="1">
        <v>44890</v>
      </c>
      <c r="K490">
        <v>66.537065948821606</v>
      </c>
      <c r="L490" s="1">
        <v>44902</v>
      </c>
      <c r="M490" s="1">
        <v>44905</v>
      </c>
      <c r="N490">
        <v>1197.66718707879</v>
      </c>
      <c r="O490">
        <v>3</v>
      </c>
      <c r="P490" t="str">
        <f>IF(Table1[[#This Row],[Delivery Delay]]&gt;0,"Late","On Time")</f>
        <v>Late</v>
      </c>
      <c r="Q490">
        <v>66.537065948821663</v>
      </c>
      <c r="R490">
        <v>0.34157451446893849</v>
      </c>
      <c r="S490">
        <v>8.3495649775551029E-4</v>
      </c>
      <c r="T490">
        <v>0.84</v>
      </c>
      <c r="U490">
        <v>0</v>
      </c>
      <c r="V490">
        <v>32.056538984311437</v>
      </c>
    </row>
    <row r="491" spans="1:22" x14ac:dyDescent="0.35">
      <c r="A491" t="s">
        <v>100</v>
      </c>
      <c r="B491" t="s">
        <v>10</v>
      </c>
      <c r="C491" t="s">
        <v>11</v>
      </c>
      <c r="D491">
        <v>0.95</v>
      </c>
      <c r="E491" t="s">
        <v>37</v>
      </c>
      <c r="F491" t="s">
        <v>34</v>
      </c>
      <c r="G491">
        <v>1</v>
      </c>
      <c r="H491">
        <v>244.71359999999899</v>
      </c>
      <c r="I491" t="s">
        <v>50</v>
      </c>
      <c r="J491" s="1">
        <v>44602</v>
      </c>
      <c r="K491">
        <v>50.664116973312602</v>
      </c>
      <c r="L491" s="1">
        <v>44626</v>
      </c>
      <c r="M491" s="1">
        <v>44632</v>
      </c>
      <c r="N491">
        <v>455.97705275981298</v>
      </c>
      <c r="O491">
        <v>6</v>
      </c>
      <c r="P491" t="str">
        <f>IF(Table1[[#This Row],[Delivery Delay]]&gt;0,"Late","On Time")</f>
        <v>Late</v>
      </c>
      <c r="Q491">
        <v>50.664116973312552</v>
      </c>
      <c r="R491">
        <v>0.85512290441885574</v>
      </c>
      <c r="S491">
        <v>2.193092818920325E-3</v>
      </c>
      <c r="T491">
        <v>0.95</v>
      </c>
      <c r="U491">
        <v>0</v>
      </c>
      <c r="V491">
        <v>45.668250872944718</v>
      </c>
    </row>
    <row r="492" spans="1:22" x14ac:dyDescent="0.35">
      <c r="A492" t="s">
        <v>101</v>
      </c>
      <c r="B492" t="s">
        <v>6</v>
      </c>
      <c r="C492" t="s">
        <v>7</v>
      </c>
      <c r="D492">
        <v>0.84</v>
      </c>
      <c r="E492" t="s">
        <v>37</v>
      </c>
      <c r="F492" t="s">
        <v>34</v>
      </c>
      <c r="G492">
        <v>1</v>
      </c>
      <c r="H492">
        <v>666.20579999999995</v>
      </c>
      <c r="I492" t="s">
        <v>46</v>
      </c>
      <c r="J492" s="1">
        <v>44205</v>
      </c>
      <c r="K492">
        <v>8.6368725003252695</v>
      </c>
      <c r="L492" s="1">
        <v>44228</v>
      </c>
      <c r="M492" s="1">
        <v>44229</v>
      </c>
      <c r="N492">
        <v>103.642470003903</v>
      </c>
      <c r="O492">
        <v>1</v>
      </c>
      <c r="P492" t="str">
        <f>IF(Table1[[#This Row],[Delivery Delay]]&gt;0,"Late","On Time")</f>
        <v>Late</v>
      </c>
      <c r="Q492">
        <v>8.63687250032525</v>
      </c>
      <c r="R492">
        <v>0.5084819267618379</v>
      </c>
      <c r="S492">
        <v>9.6485543036782286E-3</v>
      </c>
      <c r="T492">
        <v>0.84</v>
      </c>
      <c r="U492">
        <v>0</v>
      </c>
      <c r="V492">
        <v>35.659095164347107</v>
      </c>
    </row>
    <row r="493" spans="1:22" x14ac:dyDescent="0.35">
      <c r="A493" t="s">
        <v>102</v>
      </c>
      <c r="B493" t="s">
        <v>13</v>
      </c>
      <c r="C493" t="s">
        <v>5</v>
      </c>
      <c r="D493">
        <v>0.69</v>
      </c>
      <c r="E493" t="s">
        <v>37</v>
      </c>
      <c r="F493" t="s">
        <v>34</v>
      </c>
      <c r="G493">
        <v>1</v>
      </c>
      <c r="H493">
        <v>15.7503999999999</v>
      </c>
      <c r="I493" t="s">
        <v>46</v>
      </c>
      <c r="J493" s="1">
        <v>44266</v>
      </c>
      <c r="K493">
        <v>56.459343686882399</v>
      </c>
      <c r="L493" s="1">
        <v>44288</v>
      </c>
      <c r="M493" s="1">
        <v>44289</v>
      </c>
      <c r="N493">
        <v>508.13409318194198</v>
      </c>
      <c r="O493">
        <v>1</v>
      </c>
      <c r="P493" t="str">
        <f>IF(Table1[[#This Row],[Delivery Delay]]&gt;0,"Late","On Time")</f>
        <v>Late</v>
      </c>
      <c r="Q493">
        <v>56.459343686882441</v>
      </c>
      <c r="R493">
        <v>1.2515510893223948E-2</v>
      </c>
      <c r="S493">
        <v>1.9679844620107806E-3</v>
      </c>
      <c r="T493">
        <v>0.69</v>
      </c>
      <c r="U493">
        <v>0</v>
      </c>
      <c r="V493">
        <v>21.009349751724802</v>
      </c>
    </row>
    <row r="494" spans="1:22" x14ac:dyDescent="0.35">
      <c r="A494" t="s">
        <v>99</v>
      </c>
      <c r="B494" t="s">
        <v>4</v>
      </c>
      <c r="C494" t="s">
        <v>9</v>
      </c>
      <c r="D494">
        <v>0.61</v>
      </c>
      <c r="E494" t="s">
        <v>36</v>
      </c>
      <c r="F494" t="s">
        <v>39</v>
      </c>
      <c r="G494">
        <v>0</v>
      </c>
      <c r="H494">
        <v>125.08439999999899</v>
      </c>
      <c r="I494" t="s">
        <v>47</v>
      </c>
      <c r="J494" s="1">
        <v>44593</v>
      </c>
      <c r="K494">
        <v>59.133407894161103</v>
      </c>
      <c r="L494" s="1">
        <v>44617</v>
      </c>
      <c r="M494" s="1">
        <v>44616</v>
      </c>
      <c r="N494">
        <v>827.86771051825599</v>
      </c>
      <c r="O494">
        <v>-1</v>
      </c>
      <c r="P494" t="str">
        <f>IF(Table1[[#This Row],[Delivery Delay]]&gt;0,"Late","On Time")</f>
        <v>On Time</v>
      </c>
      <c r="Q494">
        <v>59.133407894161145</v>
      </c>
      <c r="R494">
        <v>0.202348113220365</v>
      </c>
      <c r="S494">
        <v>1.2079224582560262E-3</v>
      </c>
      <c r="T494">
        <v>0.61</v>
      </c>
      <c r="U494">
        <v>1</v>
      </c>
      <c r="V494">
        <v>42.383199938154981</v>
      </c>
    </row>
    <row r="495" spans="1:22" x14ac:dyDescent="0.35">
      <c r="A495" t="s">
        <v>103</v>
      </c>
      <c r="B495" t="s">
        <v>4</v>
      </c>
      <c r="C495" t="s">
        <v>9</v>
      </c>
      <c r="D495">
        <v>0.94</v>
      </c>
      <c r="E495" t="s">
        <v>37</v>
      </c>
      <c r="F495" t="s">
        <v>34</v>
      </c>
      <c r="G495">
        <v>1</v>
      </c>
      <c r="H495">
        <v>23.0425</v>
      </c>
      <c r="I495" t="s">
        <v>46</v>
      </c>
      <c r="J495" s="1">
        <v>44744</v>
      </c>
      <c r="K495">
        <v>68.322111259401197</v>
      </c>
      <c r="L495" s="1">
        <v>44764</v>
      </c>
      <c r="M495" s="1">
        <v>44761</v>
      </c>
      <c r="N495">
        <v>751.543223853413</v>
      </c>
      <c r="O495">
        <v>-3</v>
      </c>
      <c r="P495" t="str">
        <f>IF(Table1[[#This Row],[Delivery Delay]]&gt;0,"Late","On Time")</f>
        <v>On Time</v>
      </c>
      <c r="Q495">
        <v>68.322111259401183</v>
      </c>
      <c r="R495">
        <v>2.2836005420980781E-2</v>
      </c>
      <c r="S495">
        <v>1.3305954578003727E-3</v>
      </c>
      <c r="T495">
        <v>0.94</v>
      </c>
      <c r="U495">
        <v>0</v>
      </c>
      <c r="V495">
        <v>28.696637972153628</v>
      </c>
    </row>
    <row r="496" spans="1:22" x14ac:dyDescent="0.35">
      <c r="A496" t="s">
        <v>104</v>
      </c>
      <c r="B496" t="s">
        <v>6</v>
      </c>
      <c r="C496" t="s">
        <v>9</v>
      </c>
      <c r="D496">
        <v>0.61</v>
      </c>
      <c r="E496" t="s">
        <v>37</v>
      </c>
      <c r="F496" t="s">
        <v>34</v>
      </c>
      <c r="G496">
        <v>1</v>
      </c>
      <c r="H496">
        <v>89.342399999999998</v>
      </c>
      <c r="I496" t="s">
        <v>46</v>
      </c>
      <c r="J496" s="1">
        <v>44602</v>
      </c>
      <c r="K496">
        <v>61.0105986212875</v>
      </c>
      <c r="L496" s="1">
        <v>44616</v>
      </c>
      <c r="M496" s="1">
        <v>44616</v>
      </c>
      <c r="N496">
        <v>732.12718345544999</v>
      </c>
      <c r="O496">
        <v>0</v>
      </c>
      <c r="P496" t="str">
        <f>IF(Table1[[#This Row],[Delivery Delay]]&gt;0,"Late","On Time")</f>
        <v>On Time</v>
      </c>
      <c r="Q496">
        <v>61.0105986212875</v>
      </c>
      <c r="R496">
        <v>0.42217837053166396</v>
      </c>
      <c r="S496">
        <v>1.3658828993075491E-3</v>
      </c>
      <c r="T496">
        <v>0.61</v>
      </c>
      <c r="U496">
        <v>0</v>
      </c>
      <c r="V496">
        <v>26.784543897612505</v>
      </c>
    </row>
    <row r="497" spans="1:22" x14ac:dyDescent="0.35">
      <c r="A497" t="s">
        <v>105</v>
      </c>
      <c r="B497" t="s">
        <v>8</v>
      </c>
      <c r="C497" t="s">
        <v>7</v>
      </c>
      <c r="D497">
        <v>0.94</v>
      </c>
      <c r="E497" t="s">
        <v>35</v>
      </c>
      <c r="F497" t="s">
        <v>34</v>
      </c>
      <c r="G497">
        <v>1</v>
      </c>
      <c r="H497">
        <v>42.275099999999803</v>
      </c>
      <c r="I497" t="s">
        <v>48</v>
      </c>
      <c r="J497" s="1">
        <v>44458</v>
      </c>
      <c r="K497">
        <v>33.281793474363703</v>
      </c>
      <c r="L497" s="1">
        <v>44480</v>
      </c>
      <c r="M497" s="1">
        <v>44478</v>
      </c>
      <c r="N497">
        <v>499.22690211545603</v>
      </c>
      <c r="O497">
        <v>-2</v>
      </c>
      <c r="P497" t="str">
        <f>IF(Table1[[#This Row],[Delivery Delay]]&gt;0,"Late","On Time")</f>
        <v>On Time</v>
      </c>
      <c r="Q497">
        <v>33.281793474363738</v>
      </c>
      <c r="R497">
        <v>4.0502503867968193E-2</v>
      </c>
      <c r="S497">
        <v>2.0030971803853838E-3</v>
      </c>
      <c r="T497">
        <v>0.94</v>
      </c>
      <c r="U497">
        <v>0</v>
      </c>
      <c r="V497">
        <v>29.070142992770926</v>
      </c>
    </row>
    <row r="498" spans="1:22" x14ac:dyDescent="0.35">
      <c r="A498" t="s">
        <v>106</v>
      </c>
      <c r="B498" t="s">
        <v>4</v>
      </c>
      <c r="C498" t="s">
        <v>9</v>
      </c>
      <c r="D498">
        <v>0.81</v>
      </c>
      <c r="E498" t="s">
        <v>35</v>
      </c>
      <c r="F498" t="s">
        <v>39</v>
      </c>
      <c r="G498">
        <v>0</v>
      </c>
      <c r="H498">
        <v>213.665999999999</v>
      </c>
      <c r="I498" t="s">
        <v>47</v>
      </c>
      <c r="J498" s="1">
        <v>44666</v>
      </c>
      <c r="K498">
        <v>72.416768761401002</v>
      </c>
      <c r="L498" s="1">
        <v>44689</v>
      </c>
      <c r="M498" s="1">
        <v>44694</v>
      </c>
      <c r="N498">
        <v>724.16768761400999</v>
      </c>
      <c r="O498">
        <v>5</v>
      </c>
      <c r="P498" t="str">
        <f>IF(Table1[[#This Row],[Delivery Delay]]&gt;0,"Late","On Time")</f>
        <v>Late</v>
      </c>
      <c r="Q498">
        <v>72.416768761401002</v>
      </c>
      <c r="R498">
        <v>0.40607325305601055</v>
      </c>
      <c r="S498">
        <v>1.3808956366098068E-3</v>
      </c>
      <c r="T498">
        <v>0.81</v>
      </c>
      <c r="U498">
        <v>1</v>
      </c>
      <c r="V498">
        <v>52.462891930218511</v>
      </c>
    </row>
    <row r="499" spans="1:22" x14ac:dyDescent="0.35">
      <c r="A499" t="s">
        <v>108</v>
      </c>
      <c r="B499" t="s">
        <v>14</v>
      </c>
      <c r="C499" t="s">
        <v>9</v>
      </c>
      <c r="D499">
        <v>0.97</v>
      </c>
      <c r="E499" t="s">
        <v>38</v>
      </c>
      <c r="F499" t="s">
        <v>34</v>
      </c>
      <c r="G499">
        <v>1</v>
      </c>
      <c r="H499">
        <v>290.91359999999901</v>
      </c>
      <c r="I499" t="s">
        <v>48</v>
      </c>
      <c r="J499" s="1">
        <v>44913</v>
      </c>
      <c r="K499">
        <v>35.8318975363973</v>
      </c>
      <c r="L499" s="1">
        <v>44928</v>
      </c>
      <c r="M499" s="1">
        <v>44931</v>
      </c>
      <c r="N499">
        <v>429.98277043676802</v>
      </c>
      <c r="O499">
        <v>3</v>
      </c>
      <c r="P499" t="str">
        <f>IF(Table1[[#This Row],[Delivery Delay]]&gt;0,"Late","On Time")</f>
        <v>Late</v>
      </c>
      <c r="Q499">
        <v>35.831897536397335</v>
      </c>
      <c r="R499">
        <v>0.24782361576237769</v>
      </c>
      <c r="S499">
        <v>2.3256745822262128E-3</v>
      </c>
      <c r="T499">
        <v>0.97</v>
      </c>
      <c r="U499">
        <v>0</v>
      </c>
      <c r="V499">
        <v>34.126242552714338</v>
      </c>
    </row>
    <row r="500" spans="1:22" x14ac:dyDescent="0.35">
      <c r="A500" t="s">
        <v>102</v>
      </c>
      <c r="B500" t="s">
        <v>12</v>
      </c>
      <c r="C500" t="s">
        <v>7</v>
      </c>
      <c r="D500">
        <v>0.91</v>
      </c>
      <c r="E500" t="s">
        <v>37</v>
      </c>
      <c r="F500" t="s">
        <v>39</v>
      </c>
      <c r="G500">
        <v>0</v>
      </c>
      <c r="H500">
        <v>509.36219999999997</v>
      </c>
      <c r="I500" t="s">
        <v>50</v>
      </c>
      <c r="J500" s="1">
        <v>45308</v>
      </c>
      <c r="K500">
        <v>53.657623131039202</v>
      </c>
      <c r="L500" s="1">
        <v>45331</v>
      </c>
      <c r="M500" s="1">
        <v>45330</v>
      </c>
      <c r="N500">
        <v>858.521970096627</v>
      </c>
      <c r="O500">
        <v>-1</v>
      </c>
      <c r="P500" t="str">
        <f>IF(Table1[[#This Row],[Delivery Delay]]&gt;0,"Late","On Time")</f>
        <v>On Time</v>
      </c>
      <c r="Q500">
        <v>53.657623131039188</v>
      </c>
      <c r="R500">
        <v>0.58858435996580549</v>
      </c>
      <c r="S500">
        <v>1.164792556080364E-3</v>
      </c>
      <c r="T500">
        <v>0.91</v>
      </c>
      <c r="U500">
        <v>1</v>
      </c>
      <c r="V500">
        <v>59.106630975998527</v>
      </c>
    </row>
    <row r="501" spans="1:22" x14ac:dyDescent="0.35">
      <c r="A501" t="s">
        <v>99</v>
      </c>
      <c r="B501" t="s">
        <v>10</v>
      </c>
      <c r="C501" t="s">
        <v>9</v>
      </c>
      <c r="D501">
        <v>0.99</v>
      </c>
      <c r="E501" t="s">
        <v>36</v>
      </c>
      <c r="F501" t="s">
        <v>34</v>
      </c>
      <c r="G501">
        <v>1</v>
      </c>
      <c r="H501">
        <v>106.29759999999899</v>
      </c>
      <c r="I501" t="s">
        <v>50</v>
      </c>
      <c r="J501" s="1">
        <v>45265</v>
      </c>
      <c r="K501">
        <v>75.051849618908406</v>
      </c>
      <c r="L501" s="1">
        <v>45286</v>
      </c>
      <c r="M501" s="1">
        <v>45291</v>
      </c>
      <c r="N501">
        <v>600.41479695126702</v>
      </c>
      <c r="O501">
        <v>5</v>
      </c>
      <c r="P501" t="str">
        <f>IF(Table1[[#This Row],[Delivery Delay]]&gt;0,"Late","On Time")</f>
        <v>Late</v>
      </c>
      <c r="Q501">
        <v>75.051849618908378</v>
      </c>
      <c r="R501">
        <v>0.39466305484269332</v>
      </c>
      <c r="S501">
        <v>1.6655152489207649E-3</v>
      </c>
      <c r="T501">
        <v>0.99</v>
      </c>
      <c r="U501">
        <v>0</v>
      </c>
      <c r="V501">
        <v>37.643226554321487</v>
      </c>
    </row>
    <row r="502" spans="1:22" x14ac:dyDescent="0.35">
      <c r="A502" t="s">
        <v>103</v>
      </c>
      <c r="B502" t="s">
        <v>4</v>
      </c>
      <c r="C502" t="s">
        <v>5</v>
      </c>
      <c r="D502">
        <v>0.75</v>
      </c>
      <c r="E502" t="s">
        <v>35</v>
      </c>
      <c r="F502" t="s">
        <v>34</v>
      </c>
      <c r="G502">
        <v>1</v>
      </c>
      <c r="H502">
        <v>313.47800000000001</v>
      </c>
      <c r="I502" t="s">
        <v>48</v>
      </c>
      <c r="J502" s="1">
        <v>45300</v>
      </c>
      <c r="K502">
        <v>76.824831471027693</v>
      </c>
      <c r="L502" s="1">
        <v>45312</v>
      </c>
      <c r="M502" s="1">
        <v>45313</v>
      </c>
      <c r="N502">
        <v>1075.54764059438</v>
      </c>
      <c r="O502">
        <v>1</v>
      </c>
      <c r="P502" t="str">
        <f>IF(Table1[[#This Row],[Delivery Delay]]&gt;0,"Late","On Time")</f>
        <v>Late</v>
      </c>
      <c r="Q502">
        <v>76.824831471027139</v>
      </c>
      <c r="R502">
        <v>0.28759502311013413</v>
      </c>
      <c r="S502">
        <v>9.2975890816642014E-4</v>
      </c>
      <c r="T502">
        <v>0.75</v>
      </c>
      <c r="U502">
        <v>0</v>
      </c>
      <c r="V502">
        <v>28.279793229447669</v>
      </c>
    </row>
    <row r="503" spans="1:22" x14ac:dyDescent="0.35">
      <c r="A503" t="s">
        <v>104</v>
      </c>
      <c r="B503" t="s">
        <v>6</v>
      </c>
      <c r="C503" t="s">
        <v>7</v>
      </c>
      <c r="D503">
        <v>0.8</v>
      </c>
      <c r="E503" t="s">
        <v>35</v>
      </c>
      <c r="F503" t="s">
        <v>34</v>
      </c>
      <c r="G503">
        <v>1</v>
      </c>
      <c r="H503">
        <v>157.50720000000001</v>
      </c>
      <c r="I503" t="s">
        <v>50</v>
      </c>
      <c r="J503" s="1">
        <v>44422</v>
      </c>
      <c r="K503">
        <v>18.675441137430798</v>
      </c>
      <c r="L503" s="1">
        <v>44442</v>
      </c>
      <c r="M503" s="1">
        <v>44444</v>
      </c>
      <c r="N503">
        <v>74.701764549723194</v>
      </c>
      <c r="O503">
        <v>2</v>
      </c>
      <c r="P503" t="str">
        <f>IF(Table1[[#This Row],[Delivery Delay]]&gt;0,"Late","On Time")</f>
        <v>Late</v>
      </c>
      <c r="Q503">
        <v>18.675441137430798</v>
      </c>
      <c r="R503">
        <v>0.26877114236335792</v>
      </c>
      <c r="S503">
        <v>1.338656464178135E-2</v>
      </c>
      <c r="T503">
        <v>0.8</v>
      </c>
      <c r="U503">
        <v>0</v>
      </c>
      <c r="V503">
        <v>29.777019786520597</v>
      </c>
    </row>
    <row r="504" spans="1:22" x14ac:dyDescent="0.35">
      <c r="A504" t="s">
        <v>105</v>
      </c>
      <c r="B504" t="s">
        <v>8</v>
      </c>
      <c r="C504" t="s">
        <v>9</v>
      </c>
      <c r="D504">
        <v>0.62</v>
      </c>
      <c r="E504" t="s">
        <v>37</v>
      </c>
      <c r="F504" t="s">
        <v>34</v>
      </c>
      <c r="G504">
        <v>1</v>
      </c>
      <c r="H504">
        <v>491.19600000000003</v>
      </c>
      <c r="I504" t="s">
        <v>47</v>
      </c>
      <c r="J504" s="1">
        <v>45100</v>
      </c>
      <c r="K504">
        <v>72.014843746686793</v>
      </c>
      <c r="L504" s="1">
        <v>45122</v>
      </c>
      <c r="M504" s="1">
        <v>45121</v>
      </c>
      <c r="N504">
        <v>792.16328121355502</v>
      </c>
      <c r="O504">
        <v>-1</v>
      </c>
      <c r="P504" t="str">
        <f>IF(Table1[[#This Row],[Delivery Delay]]&gt;0,"Late","On Time")</f>
        <v>On Time</v>
      </c>
      <c r="Q504">
        <v>72.014843746686822</v>
      </c>
      <c r="R504">
        <v>0.34361481249335429</v>
      </c>
      <c r="S504">
        <v>1.2623660092753218E-3</v>
      </c>
      <c r="T504">
        <v>0.62</v>
      </c>
      <c r="U504">
        <v>0</v>
      </c>
      <c r="V504">
        <v>25.510167230145349</v>
      </c>
    </row>
    <row r="505" spans="1:22" x14ac:dyDescent="0.35">
      <c r="A505" t="s">
        <v>106</v>
      </c>
      <c r="B505" t="s">
        <v>4</v>
      </c>
      <c r="C505" t="s">
        <v>9</v>
      </c>
      <c r="D505">
        <v>0.66</v>
      </c>
      <c r="E505" t="s">
        <v>38</v>
      </c>
      <c r="F505" t="s">
        <v>34</v>
      </c>
      <c r="G505">
        <v>1</v>
      </c>
      <c r="H505">
        <v>382.04399999999998</v>
      </c>
      <c r="I505" t="s">
        <v>51</v>
      </c>
      <c r="J505" s="1">
        <v>45350</v>
      </c>
      <c r="K505">
        <v>18.5969604796143</v>
      </c>
      <c r="L505" s="1">
        <v>45370</v>
      </c>
      <c r="M505" s="1">
        <v>45375</v>
      </c>
      <c r="N505">
        <v>297.55136767382999</v>
      </c>
      <c r="O505">
        <v>5</v>
      </c>
      <c r="P505" t="str">
        <f>IF(Table1[[#This Row],[Delivery Delay]]&gt;0,"Late","On Time")</f>
        <v>Late</v>
      </c>
      <c r="Q505">
        <v>18.596960479614374</v>
      </c>
      <c r="R505">
        <v>0.90918696633063933</v>
      </c>
      <c r="S505">
        <v>3.3607642533042582E-3</v>
      </c>
      <c r="T505">
        <v>0.66</v>
      </c>
      <c r="U505">
        <v>0</v>
      </c>
      <c r="V505">
        <v>38.084562254211917</v>
      </c>
    </row>
    <row r="506" spans="1:22" x14ac:dyDescent="0.35">
      <c r="A506" t="s">
        <v>108</v>
      </c>
      <c r="B506" t="s">
        <v>10</v>
      </c>
      <c r="C506" t="s">
        <v>9</v>
      </c>
      <c r="D506">
        <v>0.89</v>
      </c>
      <c r="E506" t="s">
        <v>37</v>
      </c>
      <c r="F506" t="s">
        <v>34</v>
      </c>
      <c r="G506">
        <v>1</v>
      </c>
      <c r="H506">
        <v>280.778199999999</v>
      </c>
      <c r="I506" t="s">
        <v>48</v>
      </c>
      <c r="J506" s="1">
        <v>45100</v>
      </c>
      <c r="K506">
        <v>56.784179482850803</v>
      </c>
      <c r="L506" s="1">
        <v>45116</v>
      </c>
      <c r="M506" s="1">
        <v>45118</v>
      </c>
      <c r="N506">
        <v>454.27343586280602</v>
      </c>
      <c r="O506">
        <v>2</v>
      </c>
      <c r="P506" t="str">
        <f>IF(Table1[[#This Row],[Delivery Delay]]&gt;0,"Late","On Time")</f>
        <v>Late</v>
      </c>
      <c r="Q506">
        <v>56.784179482850753</v>
      </c>
      <c r="R506">
        <v>0.76162201193408896</v>
      </c>
      <c r="S506">
        <v>2.2013173587856621E-3</v>
      </c>
      <c r="T506">
        <v>0.89</v>
      </c>
      <c r="U506">
        <v>0</v>
      </c>
      <c r="V506">
        <v>41.998479759445352</v>
      </c>
    </row>
    <row r="507" spans="1:22" x14ac:dyDescent="0.35">
      <c r="A507" t="s">
        <v>107</v>
      </c>
      <c r="B507" t="s">
        <v>4</v>
      </c>
      <c r="C507" t="s">
        <v>11</v>
      </c>
      <c r="D507">
        <v>0.63</v>
      </c>
      <c r="E507" t="s">
        <v>37</v>
      </c>
      <c r="F507" t="s">
        <v>34</v>
      </c>
      <c r="G507">
        <v>1</v>
      </c>
      <c r="H507">
        <v>175.88399999999999</v>
      </c>
      <c r="I507" t="s">
        <v>45</v>
      </c>
      <c r="J507" s="1">
        <v>44424</v>
      </c>
      <c r="K507">
        <v>26.3178017025398</v>
      </c>
      <c r="L507" s="1">
        <v>44435</v>
      </c>
      <c r="M507" s="1">
        <v>44438</v>
      </c>
      <c r="N507">
        <v>289.495818727938</v>
      </c>
      <c r="O507">
        <v>3</v>
      </c>
      <c r="P507" t="str">
        <f>IF(Table1[[#This Row],[Delivery Delay]]&gt;0,"Late","On Time")</f>
        <v>Late</v>
      </c>
      <c r="Q507">
        <v>26.317801702539818</v>
      </c>
      <c r="R507">
        <v>0.29190233410340155</v>
      </c>
      <c r="S507">
        <v>3.4542813239723459E-3</v>
      </c>
      <c r="T507">
        <v>0.63</v>
      </c>
      <c r="U507">
        <v>0</v>
      </c>
      <c r="V507">
        <v>24.841675121787201</v>
      </c>
    </row>
    <row r="508" spans="1:22" x14ac:dyDescent="0.35">
      <c r="A508" t="s">
        <v>100</v>
      </c>
      <c r="B508" t="s">
        <v>6</v>
      </c>
      <c r="C508" t="s">
        <v>11</v>
      </c>
      <c r="D508">
        <v>0.84</v>
      </c>
      <c r="E508" t="s">
        <v>37</v>
      </c>
      <c r="F508" t="s">
        <v>39</v>
      </c>
      <c r="G508">
        <v>0</v>
      </c>
      <c r="H508">
        <v>120.804999999999</v>
      </c>
      <c r="I508" t="s">
        <v>45</v>
      </c>
      <c r="J508" s="1">
        <v>44271</v>
      </c>
      <c r="K508">
        <v>54.547841563101301</v>
      </c>
      <c r="L508" s="1">
        <v>44286</v>
      </c>
      <c r="M508" s="1">
        <v>44284</v>
      </c>
      <c r="N508">
        <v>600.02625719411503</v>
      </c>
      <c r="O508">
        <v>-2</v>
      </c>
      <c r="P508" t="str">
        <f>IF(Table1[[#This Row],[Delivery Delay]]&gt;0,"Late","On Time")</f>
        <v>On Time</v>
      </c>
      <c r="Q508">
        <v>54.547841563101365</v>
      </c>
      <c r="R508">
        <v>0.23730761297673036</v>
      </c>
      <c r="S508">
        <v>1.6665937332080605E-3</v>
      </c>
      <c r="T508">
        <v>0.84</v>
      </c>
      <c r="U508">
        <v>1</v>
      </c>
      <c r="V508">
        <v>49.996150071530856</v>
      </c>
    </row>
    <row r="509" spans="1:22" x14ac:dyDescent="0.35">
      <c r="A509" t="s">
        <v>101</v>
      </c>
      <c r="B509" t="s">
        <v>4</v>
      </c>
      <c r="C509" t="s">
        <v>9</v>
      </c>
      <c r="D509">
        <v>0.7</v>
      </c>
      <c r="E509" t="s">
        <v>37</v>
      </c>
      <c r="F509" t="s">
        <v>34</v>
      </c>
      <c r="G509">
        <v>1</v>
      </c>
      <c r="H509">
        <v>858.7278</v>
      </c>
      <c r="I509" t="s">
        <v>46</v>
      </c>
      <c r="J509" s="1">
        <v>45374</v>
      </c>
      <c r="K509">
        <v>54.883859994490301</v>
      </c>
      <c r="L509" s="1">
        <v>45390</v>
      </c>
      <c r="M509" s="1">
        <v>45394</v>
      </c>
      <c r="N509">
        <v>823.25789991735496</v>
      </c>
      <c r="O509">
        <v>4</v>
      </c>
      <c r="P509" t="str">
        <f>IF(Table1[[#This Row],[Delivery Delay]]&gt;0,"Late","On Time")</f>
        <v>Late</v>
      </c>
      <c r="Q509">
        <v>54.883859994490329</v>
      </c>
      <c r="R509">
        <v>0.87156791280502621</v>
      </c>
      <c r="S509">
        <v>1.2146861877673908E-3</v>
      </c>
      <c r="T509">
        <v>0.7</v>
      </c>
      <c r="U509">
        <v>0</v>
      </c>
      <c r="V509">
        <v>38.467798841733547</v>
      </c>
    </row>
    <row r="510" spans="1:22" x14ac:dyDescent="0.35">
      <c r="A510" t="s">
        <v>102</v>
      </c>
      <c r="B510" t="s">
        <v>6</v>
      </c>
      <c r="C510" t="s">
        <v>9</v>
      </c>
      <c r="D510">
        <v>0.75</v>
      </c>
      <c r="E510" t="s">
        <v>36</v>
      </c>
      <c r="F510" t="s">
        <v>34</v>
      </c>
      <c r="G510">
        <v>1</v>
      </c>
      <c r="H510">
        <v>-105.697499999999</v>
      </c>
      <c r="I510" t="s">
        <v>50</v>
      </c>
      <c r="J510" s="1">
        <v>44656</v>
      </c>
      <c r="K510">
        <v>16.1981356478165</v>
      </c>
      <c r="L510" s="1">
        <v>44670</v>
      </c>
      <c r="M510" s="1">
        <v>44668</v>
      </c>
      <c r="N510">
        <v>178.17949212598199</v>
      </c>
      <c r="O510">
        <v>-2</v>
      </c>
      <c r="P510" t="str">
        <f>IF(Table1[[#This Row],[Delivery Delay]]&gt;0,"Late","On Time")</f>
        <v>On Time</v>
      </c>
      <c r="Q510">
        <v>16.198135647816546</v>
      </c>
      <c r="R510">
        <v>0</v>
      </c>
      <c r="S510">
        <v>5.6123181633773488E-3</v>
      </c>
      <c r="T510">
        <v>0.75</v>
      </c>
      <c r="U510">
        <v>0</v>
      </c>
      <c r="V510">
        <v>22.668369544901317</v>
      </c>
    </row>
    <row r="511" spans="1:22" x14ac:dyDescent="0.35">
      <c r="A511" t="s">
        <v>99</v>
      </c>
      <c r="B511" t="s">
        <v>12</v>
      </c>
      <c r="C511" t="s">
        <v>9</v>
      </c>
      <c r="D511">
        <v>0.71</v>
      </c>
      <c r="E511" t="s">
        <v>37</v>
      </c>
      <c r="F511" t="s">
        <v>34</v>
      </c>
      <c r="G511">
        <v>1</v>
      </c>
      <c r="H511">
        <v>513.64</v>
      </c>
      <c r="I511" t="s">
        <v>45</v>
      </c>
      <c r="J511" s="1">
        <v>44306</v>
      </c>
      <c r="K511">
        <v>61.513404688826903</v>
      </c>
      <c r="L511" s="1">
        <v>44322</v>
      </c>
      <c r="M511" s="1">
        <v>44326</v>
      </c>
      <c r="N511">
        <v>430.593832821788</v>
      </c>
      <c r="O511">
        <v>4</v>
      </c>
      <c r="P511" t="str">
        <f>IF(Table1[[#This Row],[Delivery Delay]]&gt;0,"Late","On Time")</f>
        <v>Late</v>
      </c>
      <c r="Q511">
        <v>61.51340468882686</v>
      </c>
      <c r="R511">
        <v>0.40557784024509647</v>
      </c>
      <c r="S511">
        <v>2.3223741813642625E-3</v>
      </c>
      <c r="T511">
        <v>0.71</v>
      </c>
      <c r="U511">
        <v>0</v>
      </c>
      <c r="V511">
        <v>29.481228030342859</v>
      </c>
    </row>
    <row r="512" spans="1:22" x14ac:dyDescent="0.35">
      <c r="A512" t="s">
        <v>103</v>
      </c>
      <c r="B512" t="s">
        <v>13</v>
      </c>
      <c r="C512" t="s">
        <v>11</v>
      </c>
      <c r="D512">
        <v>0.74</v>
      </c>
      <c r="E512" t="s">
        <v>36</v>
      </c>
      <c r="F512" t="s">
        <v>34</v>
      </c>
      <c r="G512">
        <v>1</v>
      </c>
      <c r="H512">
        <v>535.88199999999995</v>
      </c>
      <c r="I512" t="s">
        <v>46</v>
      </c>
      <c r="J512" s="1">
        <v>44212</v>
      </c>
      <c r="K512">
        <v>20.815617306055199</v>
      </c>
      <c r="L512" s="1">
        <v>44225</v>
      </c>
      <c r="M512" s="1">
        <v>44223</v>
      </c>
      <c r="N512">
        <v>208.15617306055199</v>
      </c>
      <c r="O512">
        <v>-2</v>
      </c>
      <c r="P512" t="str">
        <f>IF(Table1[[#This Row],[Delivery Delay]]&gt;0,"Late","On Time")</f>
        <v>On Time</v>
      </c>
      <c r="Q512">
        <v>20.815617306055199</v>
      </c>
      <c r="R512">
        <v>0.49743892499828268</v>
      </c>
      <c r="S512">
        <v>4.8040852466532573E-3</v>
      </c>
      <c r="T512">
        <v>0.74</v>
      </c>
      <c r="U512">
        <v>0</v>
      </c>
      <c r="V512">
        <v>32.292901057365256</v>
      </c>
    </row>
    <row r="513" spans="1:22" x14ac:dyDescent="0.35">
      <c r="A513" t="s">
        <v>104</v>
      </c>
      <c r="B513" t="s">
        <v>6</v>
      </c>
      <c r="C513" t="s">
        <v>11</v>
      </c>
      <c r="D513">
        <v>0.88</v>
      </c>
      <c r="E513" t="s">
        <v>36</v>
      </c>
      <c r="F513" t="s">
        <v>39</v>
      </c>
      <c r="G513">
        <v>0</v>
      </c>
      <c r="H513">
        <v>185.36479999999901</v>
      </c>
      <c r="I513" t="s">
        <v>51</v>
      </c>
      <c r="J513" s="1">
        <v>44829</v>
      </c>
      <c r="K513">
        <v>26.000503856039099</v>
      </c>
      <c r="L513" s="1">
        <v>44843</v>
      </c>
      <c r="M513" s="1">
        <v>44847</v>
      </c>
      <c r="N513">
        <v>338.00655012850899</v>
      </c>
      <c r="O513">
        <v>4</v>
      </c>
      <c r="P513" t="str">
        <f>IF(Table1[[#This Row],[Delivery Delay]]&gt;0,"Late","On Time")</f>
        <v>Late</v>
      </c>
      <c r="Q513">
        <v>26.000503856039153</v>
      </c>
      <c r="R513">
        <v>0.20520282405619664</v>
      </c>
      <c r="S513">
        <v>2.958522548216309E-3</v>
      </c>
      <c r="T513">
        <v>0.88</v>
      </c>
      <c r="U513">
        <v>1</v>
      </c>
      <c r="V513">
        <v>50.592812157570435</v>
      </c>
    </row>
    <row r="514" spans="1:22" x14ac:dyDescent="0.35">
      <c r="A514" t="s">
        <v>105</v>
      </c>
      <c r="B514" t="s">
        <v>6</v>
      </c>
      <c r="C514" t="s">
        <v>9</v>
      </c>
      <c r="D514">
        <v>0.72</v>
      </c>
      <c r="E514" t="s">
        <v>35</v>
      </c>
      <c r="F514" t="s">
        <v>34</v>
      </c>
      <c r="G514">
        <v>1</v>
      </c>
      <c r="H514">
        <v>633.69600000000003</v>
      </c>
      <c r="I514" t="s">
        <v>47</v>
      </c>
      <c r="J514" s="1">
        <v>44268</v>
      </c>
      <c r="K514">
        <v>39.443253178328398</v>
      </c>
      <c r="L514" s="1">
        <v>44288</v>
      </c>
      <c r="M514" s="1">
        <v>44288</v>
      </c>
      <c r="N514">
        <v>512.76229131826994</v>
      </c>
      <c r="O514">
        <v>0</v>
      </c>
      <c r="P514" t="str">
        <f>IF(Table1[[#This Row],[Delivery Delay]]&gt;0,"Late","On Time")</f>
        <v>On Time</v>
      </c>
      <c r="Q514">
        <v>39.443253178328455</v>
      </c>
      <c r="R514">
        <v>0.84860983520500954</v>
      </c>
      <c r="S514">
        <v>1.9502214123996555E-3</v>
      </c>
      <c r="T514">
        <v>0.72</v>
      </c>
      <c r="U514">
        <v>0</v>
      </c>
      <c r="V514">
        <v>38.630703346472181</v>
      </c>
    </row>
    <row r="515" spans="1:22" x14ac:dyDescent="0.35">
      <c r="A515" t="s">
        <v>106</v>
      </c>
      <c r="B515" t="s">
        <v>14</v>
      </c>
      <c r="C515" t="s">
        <v>5</v>
      </c>
      <c r="D515">
        <v>0.82</v>
      </c>
      <c r="E515" t="s">
        <v>37</v>
      </c>
      <c r="F515" t="s">
        <v>39</v>
      </c>
      <c r="G515">
        <v>0</v>
      </c>
      <c r="H515">
        <v>394.87359999999899</v>
      </c>
      <c r="I515" t="s">
        <v>47</v>
      </c>
      <c r="J515" s="1">
        <v>44981</v>
      </c>
      <c r="K515">
        <v>32.1858212361131</v>
      </c>
      <c r="L515" s="1">
        <v>44995</v>
      </c>
      <c r="M515" s="1">
        <v>44992</v>
      </c>
      <c r="N515">
        <v>354.04403359724398</v>
      </c>
      <c r="O515">
        <v>-3</v>
      </c>
      <c r="P515" t="str">
        <f>IF(Table1[[#This Row],[Delivery Delay]]&gt;0,"Late","On Time")</f>
        <v>On Time</v>
      </c>
      <c r="Q515">
        <v>32.185821236113092</v>
      </c>
      <c r="R515">
        <v>0.21466196281451738</v>
      </c>
      <c r="S515">
        <v>2.8245074202763922E-3</v>
      </c>
      <c r="T515">
        <v>0.82</v>
      </c>
      <c r="U515">
        <v>1</v>
      </c>
      <c r="V515">
        <v>48.977974478898638</v>
      </c>
    </row>
    <row r="516" spans="1:22" x14ac:dyDescent="0.35">
      <c r="A516" t="s">
        <v>108</v>
      </c>
      <c r="B516" t="s">
        <v>6</v>
      </c>
      <c r="C516" t="s">
        <v>7</v>
      </c>
      <c r="D516">
        <v>0.79</v>
      </c>
      <c r="E516" t="s">
        <v>36</v>
      </c>
      <c r="F516" t="s">
        <v>34</v>
      </c>
      <c r="G516">
        <v>1</v>
      </c>
      <c r="H516">
        <v>22.3615999999999</v>
      </c>
      <c r="I516" t="s">
        <v>47</v>
      </c>
      <c r="J516" s="1">
        <v>45372</v>
      </c>
      <c r="K516">
        <v>49.896043804473301</v>
      </c>
      <c r="L516" s="1">
        <v>45384</v>
      </c>
      <c r="M516" s="1">
        <v>45387</v>
      </c>
      <c r="N516">
        <v>698.54461326262697</v>
      </c>
      <c r="O516">
        <v>3</v>
      </c>
      <c r="P516" t="str">
        <f>IF(Table1[[#This Row],[Delivery Delay]]&gt;0,"Late","On Time")</f>
        <v>Late</v>
      </c>
      <c r="Q516">
        <v>49.896043804473358</v>
      </c>
      <c r="R516">
        <v>4.4435118241417132E-2</v>
      </c>
      <c r="S516">
        <v>1.4315477938186276E-3</v>
      </c>
      <c r="T516">
        <v>0.79</v>
      </c>
      <c r="U516">
        <v>0</v>
      </c>
      <c r="V516">
        <v>24.6316487986429</v>
      </c>
    </row>
    <row r="517" spans="1:22" x14ac:dyDescent="0.35">
      <c r="A517" t="s">
        <v>102</v>
      </c>
      <c r="B517" t="s">
        <v>6</v>
      </c>
      <c r="C517" t="s">
        <v>11</v>
      </c>
      <c r="D517">
        <v>0.86</v>
      </c>
      <c r="E517" t="s">
        <v>38</v>
      </c>
      <c r="F517" t="s">
        <v>34</v>
      </c>
      <c r="G517">
        <v>1</v>
      </c>
      <c r="H517">
        <v>923.32449999999903</v>
      </c>
      <c r="I517" t="s">
        <v>45</v>
      </c>
      <c r="J517" s="1">
        <v>44309</v>
      </c>
      <c r="K517">
        <v>55.458473919896903</v>
      </c>
      <c r="L517" s="1">
        <v>44327</v>
      </c>
      <c r="M517" s="1">
        <v>44330</v>
      </c>
      <c r="N517">
        <v>831.87710879845395</v>
      </c>
      <c r="O517">
        <v>3</v>
      </c>
      <c r="P517" t="str">
        <f>IF(Table1[[#This Row],[Delivery Delay]]&gt;0,"Late","On Time")</f>
        <v>Late</v>
      </c>
      <c r="Q517">
        <v>55.458473919896932</v>
      </c>
      <c r="R517">
        <v>0.54166812106926576</v>
      </c>
      <c r="S517">
        <v>1.2021006341241668E-3</v>
      </c>
      <c r="T517">
        <v>0.86</v>
      </c>
      <c r="U517">
        <v>0</v>
      </c>
      <c r="V517">
        <v>36.669425440409043</v>
      </c>
    </row>
    <row r="518" spans="1:22" x14ac:dyDescent="0.35">
      <c r="A518" t="s">
        <v>99</v>
      </c>
      <c r="B518" t="s">
        <v>8</v>
      </c>
      <c r="C518" t="s">
        <v>11</v>
      </c>
      <c r="D518">
        <v>0.97</v>
      </c>
      <c r="E518" t="s">
        <v>37</v>
      </c>
      <c r="F518" t="s">
        <v>34</v>
      </c>
      <c r="G518">
        <v>1</v>
      </c>
      <c r="H518">
        <v>335.536</v>
      </c>
      <c r="I518" t="s">
        <v>51</v>
      </c>
      <c r="J518" s="1">
        <v>44245</v>
      </c>
      <c r="K518">
        <v>69.956223480732405</v>
      </c>
      <c r="L518" s="1">
        <v>44268</v>
      </c>
      <c r="M518" s="1">
        <v>44273</v>
      </c>
      <c r="N518">
        <v>1608.99314005684</v>
      </c>
      <c r="O518">
        <v>5</v>
      </c>
      <c r="P518" t="str">
        <f>IF(Table1[[#This Row],[Delivery Delay]]&gt;0,"Late","On Time")</f>
        <v>Late</v>
      </c>
      <c r="Q518">
        <v>69.956223480732177</v>
      </c>
      <c r="R518">
        <v>0.40794848850328758</v>
      </c>
      <c r="S518">
        <v>6.2150668955908265E-4</v>
      </c>
      <c r="T518">
        <v>0.97</v>
      </c>
      <c r="U518">
        <v>0</v>
      </c>
      <c r="V518">
        <v>37.277614970752524</v>
      </c>
    </row>
    <row r="519" spans="1:22" x14ac:dyDescent="0.35">
      <c r="A519" t="s">
        <v>103</v>
      </c>
      <c r="B519" t="s">
        <v>13</v>
      </c>
      <c r="C519" t="s">
        <v>5</v>
      </c>
      <c r="D519">
        <v>0.89</v>
      </c>
      <c r="E519" t="s">
        <v>36</v>
      </c>
      <c r="F519" t="s">
        <v>34</v>
      </c>
      <c r="G519">
        <v>1</v>
      </c>
      <c r="H519">
        <v>229.94519999999901</v>
      </c>
      <c r="I519" t="s">
        <v>45</v>
      </c>
      <c r="J519" s="1">
        <v>44706</v>
      </c>
      <c r="K519">
        <v>37.304560794334002</v>
      </c>
      <c r="L519" s="1">
        <v>44718</v>
      </c>
      <c r="M519" s="1">
        <v>44716</v>
      </c>
      <c r="N519">
        <v>596.87297270934403</v>
      </c>
      <c r="O519">
        <v>-2</v>
      </c>
      <c r="P519" t="str">
        <f>IF(Table1[[#This Row],[Delivery Delay]]&gt;0,"Late","On Time")</f>
        <v>On Time</v>
      </c>
      <c r="Q519">
        <v>37.304560794334002</v>
      </c>
      <c r="R519">
        <v>0.24210231955604197</v>
      </c>
      <c r="S519">
        <v>1.6753983606608445E-3</v>
      </c>
      <c r="T519">
        <v>0.89</v>
      </c>
      <c r="U519">
        <v>0</v>
      </c>
      <c r="V519">
        <v>31.592308341940665</v>
      </c>
    </row>
    <row r="520" spans="1:22" x14ac:dyDescent="0.35">
      <c r="A520" t="s">
        <v>104</v>
      </c>
      <c r="B520" t="s">
        <v>12</v>
      </c>
      <c r="C520" t="s">
        <v>5</v>
      </c>
      <c r="D520">
        <v>0.68</v>
      </c>
      <c r="E520" t="s">
        <v>38</v>
      </c>
      <c r="F520" t="s">
        <v>34</v>
      </c>
      <c r="G520">
        <v>1</v>
      </c>
      <c r="H520">
        <v>309.46859999999901</v>
      </c>
      <c r="I520" t="s">
        <v>50</v>
      </c>
      <c r="J520" s="1">
        <v>44853</v>
      </c>
      <c r="K520">
        <v>66.8929697015584</v>
      </c>
      <c r="L520" s="1">
        <v>44877</v>
      </c>
      <c r="M520" s="1">
        <v>44881</v>
      </c>
      <c r="N520">
        <v>401.35781820935</v>
      </c>
      <c r="O520">
        <v>4</v>
      </c>
      <c r="P520" t="str">
        <f>IF(Table1[[#This Row],[Delivery Delay]]&gt;0,"Late","On Time")</f>
        <v>Late</v>
      </c>
      <c r="Q520">
        <v>66.892969701558329</v>
      </c>
      <c r="R520">
        <v>0.57934629628173395</v>
      </c>
      <c r="S520">
        <v>2.4915423460828054E-3</v>
      </c>
      <c r="T520">
        <v>0.68</v>
      </c>
      <c r="U520">
        <v>0</v>
      </c>
      <c r="V520">
        <v>32.061672196017163</v>
      </c>
    </row>
    <row r="521" spans="1:22" x14ac:dyDescent="0.35">
      <c r="A521" t="s">
        <v>105</v>
      </c>
      <c r="B521" t="s">
        <v>10</v>
      </c>
      <c r="C521" t="s">
        <v>9</v>
      </c>
      <c r="D521">
        <v>0.61</v>
      </c>
      <c r="E521" t="s">
        <v>36</v>
      </c>
      <c r="F521" t="s">
        <v>34</v>
      </c>
      <c r="G521">
        <v>1</v>
      </c>
      <c r="H521">
        <v>313.36320000000001</v>
      </c>
      <c r="I521" t="s">
        <v>45</v>
      </c>
      <c r="J521" s="1">
        <v>44978</v>
      </c>
      <c r="K521">
        <v>14.788230554402499</v>
      </c>
      <c r="L521" s="1">
        <v>44996</v>
      </c>
      <c r="M521" s="1">
        <v>45000</v>
      </c>
      <c r="N521">
        <v>192.246997207232</v>
      </c>
      <c r="O521">
        <v>4</v>
      </c>
      <c r="P521" t="str">
        <f>IF(Table1[[#This Row],[Delivery Delay]]&gt;0,"Late","On Time")</f>
        <v>Late</v>
      </c>
      <c r="Q521">
        <v>14.788230554402462</v>
      </c>
      <c r="R521">
        <v>0.35758045478072975</v>
      </c>
      <c r="S521">
        <v>5.2016417136651208E-3</v>
      </c>
      <c r="T521">
        <v>0.61</v>
      </c>
      <c r="U521">
        <v>0</v>
      </c>
      <c r="V521">
        <v>25.607658347024547</v>
      </c>
    </row>
    <row r="522" spans="1:22" x14ac:dyDescent="0.35">
      <c r="A522" t="s">
        <v>106</v>
      </c>
      <c r="B522" t="s">
        <v>14</v>
      </c>
      <c r="C522" t="s">
        <v>9</v>
      </c>
      <c r="D522">
        <v>0.7</v>
      </c>
      <c r="E522" t="s">
        <v>35</v>
      </c>
      <c r="F522" t="s">
        <v>34</v>
      </c>
      <c r="G522">
        <v>1</v>
      </c>
      <c r="H522">
        <v>32.003999999999998</v>
      </c>
      <c r="I522" t="s">
        <v>51</v>
      </c>
      <c r="J522" s="1">
        <v>44924</v>
      </c>
      <c r="K522">
        <v>75.133151705296896</v>
      </c>
      <c r="L522" s="1">
        <v>44948</v>
      </c>
      <c r="M522" s="1">
        <v>44949</v>
      </c>
      <c r="N522">
        <v>901.59782046356304</v>
      </c>
      <c r="O522">
        <v>1</v>
      </c>
      <c r="P522" t="str">
        <f>IF(Table1[[#This Row],[Delivery Delay]]&gt;0,"Late","On Time")</f>
        <v>Late</v>
      </c>
      <c r="Q522">
        <v>75.133151705296925</v>
      </c>
      <c r="R522">
        <v>0.18435059100020734</v>
      </c>
      <c r="S522">
        <v>1.1091419891474923E-3</v>
      </c>
      <c r="T522">
        <v>0.7</v>
      </c>
      <c r="U522">
        <v>0</v>
      </c>
      <c r="V522">
        <v>24.720286079678569</v>
      </c>
    </row>
    <row r="523" spans="1:22" x14ac:dyDescent="0.35">
      <c r="A523" t="s">
        <v>108</v>
      </c>
      <c r="B523" t="s">
        <v>8</v>
      </c>
      <c r="C523" t="s">
        <v>7</v>
      </c>
      <c r="D523">
        <v>0.83</v>
      </c>
      <c r="E523" t="s">
        <v>35</v>
      </c>
      <c r="F523" t="s">
        <v>34</v>
      </c>
      <c r="G523">
        <v>1</v>
      </c>
      <c r="H523">
        <v>629.83129999999903</v>
      </c>
      <c r="I523" t="s">
        <v>51</v>
      </c>
      <c r="J523" s="1">
        <v>44780</v>
      </c>
      <c r="K523">
        <v>27.057295990249699</v>
      </c>
      <c r="L523" s="1">
        <v>44799</v>
      </c>
      <c r="M523" s="1">
        <v>44801</v>
      </c>
      <c r="N523">
        <v>270.57295990249702</v>
      </c>
      <c r="O523">
        <v>2</v>
      </c>
      <c r="P523" t="str">
        <f>IF(Table1[[#This Row],[Delivery Delay]]&gt;0,"Late","On Time")</f>
        <v>Late</v>
      </c>
      <c r="Q523">
        <v>27.057295990249703</v>
      </c>
      <c r="R523">
        <v>0.3641924762776354</v>
      </c>
      <c r="S523">
        <v>3.6958608146222646E-3</v>
      </c>
      <c r="T523">
        <v>0.83</v>
      </c>
      <c r="U523">
        <v>0</v>
      </c>
      <c r="V523">
        <v>32.294725349991374</v>
      </c>
    </row>
    <row r="524" spans="1:22" x14ac:dyDescent="0.35">
      <c r="A524" t="s">
        <v>107</v>
      </c>
      <c r="B524" t="s">
        <v>15</v>
      </c>
      <c r="C524" t="s">
        <v>7</v>
      </c>
      <c r="D524">
        <v>0.62</v>
      </c>
      <c r="E524" t="s">
        <v>37</v>
      </c>
      <c r="F524" t="s">
        <v>39</v>
      </c>
      <c r="G524">
        <v>0</v>
      </c>
      <c r="H524">
        <v>117.1604</v>
      </c>
      <c r="I524" t="s">
        <v>50</v>
      </c>
      <c r="J524" s="1">
        <v>44223</v>
      </c>
      <c r="K524">
        <v>31.485837237087001</v>
      </c>
      <c r="L524" s="1">
        <v>44241</v>
      </c>
      <c r="M524" s="1">
        <v>44239</v>
      </c>
      <c r="N524">
        <v>251.88669789669601</v>
      </c>
      <c r="O524">
        <v>-2</v>
      </c>
      <c r="P524" t="str">
        <f>IF(Table1[[#This Row],[Delivery Delay]]&gt;0,"Late","On Time")</f>
        <v>On Time</v>
      </c>
      <c r="Q524">
        <v>31.485837237087001</v>
      </c>
      <c r="R524">
        <v>0.20547232166094589</v>
      </c>
      <c r="S524">
        <v>3.970038943501974E-3</v>
      </c>
      <c r="T524">
        <v>0.62</v>
      </c>
      <c r="U524">
        <v>1</v>
      </c>
      <c r="V524">
        <v>42.828547601523979</v>
      </c>
    </row>
    <row r="525" spans="1:22" x14ac:dyDescent="0.35">
      <c r="A525" t="s">
        <v>100</v>
      </c>
      <c r="B525" t="s">
        <v>13</v>
      </c>
      <c r="C525" t="s">
        <v>9</v>
      </c>
      <c r="D525">
        <v>0.79</v>
      </c>
      <c r="E525" t="s">
        <v>36</v>
      </c>
      <c r="F525" t="s">
        <v>34</v>
      </c>
      <c r="G525">
        <v>1</v>
      </c>
      <c r="H525">
        <v>443.10500000000002</v>
      </c>
      <c r="I525" t="s">
        <v>51</v>
      </c>
      <c r="J525" s="1">
        <v>44785</v>
      </c>
      <c r="K525">
        <v>44.674005029691401</v>
      </c>
      <c r="L525" s="1">
        <v>44805</v>
      </c>
      <c r="M525" s="1">
        <v>44809</v>
      </c>
      <c r="N525">
        <v>759.45808550475397</v>
      </c>
      <c r="O525">
        <v>4</v>
      </c>
      <c r="P525" t="str">
        <f>IF(Table1[[#This Row],[Delivery Delay]]&gt;0,"Late","On Time")</f>
        <v>Late</v>
      </c>
      <c r="Q525">
        <v>44.674005029691408</v>
      </c>
      <c r="R525">
        <v>0.54195485595122339</v>
      </c>
      <c r="S525">
        <v>1.3167283607697403E-3</v>
      </c>
      <c r="T525">
        <v>0.79</v>
      </c>
      <c r="U525">
        <v>0</v>
      </c>
      <c r="V525">
        <v>34.578598969847562</v>
      </c>
    </row>
    <row r="526" spans="1:22" x14ac:dyDescent="0.35">
      <c r="A526" t="s">
        <v>101</v>
      </c>
      <c r="B526" t="s">
        <v>12</v>
      </c>
      <c r="C526" t="s">
        <v>9</v>
      </c>
      <c r="D526">
        <v>0.83</v>
      </c>
      <c r="E526" t="s">
        <v>38</v>
      </c>
      <c r="F526" t="s">
        <v>39</v>
      </c>
      <c r="G526">
        <v>0</v>
      </c>
      <c r="H526">
        <v>639.215499999999</v>
      </c>
      <c r="I526" t="s">
        <v>51</v>
      </c>
      <c r="J526" s="1">
        <v>45111</v>
      </c>
      <c r="K526">
        <v>11.555228551424999</v>
      </c>
      <c r="L526" s="1">
        <v>45121</v>
      </c>
      <c r="M526" s="1">
        <v>45120</v>
      </c>
      <c r="N526">
        <v>92.441828411400294</v>
      </c>
      <c r="O526">
        <v>-1</v>
      </c>
      <c r="P526" t="str">
        <f>IF(Table1[[#This Row],[Delivery Delay]]&gt;0,"Late","On Time")</f>
        <v>On Time</v>
      </c>
      <c r="Q526">
        <v>11.555228551425037</v>
      </c>
      <c r="R526">
        <v>0.71347744290616655</v>
      </c>
      <c r="S526">
        <v>1.0817613813842263E-2</v>
      </c>
      <c r="T526">
        <v>0.83</v>
      </c>
      <c r="U526">
        <v>1</v>
      </c>
      <c r="V526">
        <v>59.49407727253859</v>
      </c>
    </row>
    <row r="527" spans="1:22" x14ac:dyDescent="0.35">
      <c r="A527" t="s">
        <v>102</v>
      </c>
      <c r="B527" t="s">
        <v>12</v>
      </c>
      <c r="C527" t="s">
        <v>11</v>
      </c>
      <c r="D527">
        <v>0.73</v>
      </c>
      <c r="E527" t="s">
        <v>35</v>
      </c>
      <c r="F527" t="s">
        <v>34</v>
      </c>
      <c r="G527">
        <v>1</v>
      </c>
      <c r="H527">
        <v>187.30019999999999</v>
      </c>
      <c r="I527" t="s">
        <v>47</v>
      </c>
      <c r="J527" s="1">
        <v>45093</v>
      </c>
      <c r="K527">
        <v>50.453160693111997</v>
      </c>
      <c r="L527" s="1">
        <v>45115</v>
      </c>
      <c r="M527" s="1">
        <v>45120</v>
      </c>
      <c r="N527">
        <v>706.34424970356804</v>
      </c>
      <c r="O527">
        <v>5</v>
      </c>
      <c r="P527" t="str">
        <f>IF(Table1[[#This Row],[Delivery Delay]]&gt;0,"Late","On Time")</f>
        <v>Late</v>
      </c>
      <c r="Q527">
        <v>50.453160693112004</v>
      </c>
      <c r="R527">
        <v>0.48498214138677298</v>
      </c>
      <c r="S527">
        <v>1.4157402717154854E-3</v>
      </c>
      <c r="T527">
        <v>0.73</v>
      </c>
      <c r="U527">
        <v>0</v>
      </c>
      <c r="V527">
        <v>31.642115035886924</v>
      </c>
    </row>
    <row r="528" spans="1:22" x14ac:dyDescent="0.35">
      <c r="A528" t="s">
        <v>99</v>
      </c>
      <c r="B528" t="s">
        <v>15</v>
      </c>
      <c r="C528" t="s">
        <v>9</v>
      </c>
      <c r="D528">
        <v>0.9</v>
      </c>
      <c r="E528" t="s">
        <v>37</v>
      </c>
      <c r="F528" t="s">
        <v>34</v>
      </c>
      <c r="G528">
        <v>1</v>
      </c>
      <c r="H528">
        <v>434.99749999999898</v>
      </c>
      <c r="I528" t="s">
        <v>50</v>
      </c>
      <c r="J528" s="1">
        <v>44230</v>
      </c>
      <c r="K528">
        <v>14.2051917876807</v>
      </c>
      <c r="L528" s="1">
        <v>44248</v>
      </c>
      <c r="M528" s="1">
        <v>44252</v>
      </c>
      <c r="N528">
        <v>113.64153430144501</v>
      </c>
      <c r="O528">
        <v>4</v>
      </c>
      <c r="P528" t="str">
        <f>IF(Table1[[#This Row],[Delivery Delay]]&gt;0,"Late","On Time")</f>
        <v>Late</v>
      </c>
      <c r="Q528">
        <v>14.205191787680626</v>
      </c>
      <c r="R528">
        <v>0.50259821663262927</v>
      </c>
      <c r="S528">
        <v>8.7995996019149536E-3</v>
      </c>
      <c r="T528">
        <v>0.9</v>
      </c>
      <c r="U528">
        <v>0</v>
      </c>
      <c r="V528">
        <v>37.315952320710032</v>
      </c>
    </row>
    <row r="529" spans="1:22" x14ac:dyDescent="0.35">
      <c r="A529" t="s">
        <v>103</v>
      </c>
      <c r="B529" t="s">
        <v>10</v>
      </c>
      <c r="C529" t="s">
        <v>11</v>
      </c>
      <c r="D529">
        <v>0.64</v>
      </c>
      <c r="E529" t="s">
        <v>36</v>
      </c>
      <c r="F529" t="s">
        <v>34</v>
      </c>
      <c r="G529">
        <v>1</v>
      </c>
      <c r="H529">
        <v>376.96140000000003</v>
      </c>
      <c r="I529" t="s">
        <v>49</v>
      </c>
      <c r="J529" s="1">
        <v>44437</v>
      </c>
      <c r="K529">
        <v>40.490000562049602</v>
      </c>
      <c r="L529" s="1">
        <v>44449</v>
      </c>
      <c r="M529" s="1">
        <v>44448</v>
      </c>
      <c r="N529">
        <v>283.43000393434698</v>
      </c>
      <c r="O529">
        <v>-1</v>
      </c>
      <c r="P529" t="str">
        <f>IF(Table1[[#This Row],[Delivery Delay]]&gt;0,"Late","On Time")</f>
        <v>On Time</v>
      </c>
      <c r="Q529">
        <v>40.490000562049566</v>
      </c>
      <c r="R529">
        <v>0.28569772026252932</v>
      </c>
      <c r="S529">
        <v>3.5282079741693032E-3</v>
      </c>
      <c r="T529">
        <v>0.64</v>
      </c>
      <c r="U529">
        <v>0</v>
      </c>
      <c r="V529">
        <v>25.019800644475666</v>
      </c>
    </row>
    <row r="530" spans="1:22" x14ac:dyDescent="0.35">
      <c r="A530" t="s">
        <v>104</v>
      </c>
      <c r="B530" t="s">
        <v>6</v>
      </c>
      <c r="C530" t="s">
        <v>5</v>
      </c>
      <c r="D530">
        <v>0.63</v>
      </c>
      <c r="E530" t="s">
        <v>38</v>
      </c>
      <c r="F530" t="s">
        <v>34</v>
      </c>
      <c r="G530">
        <v>1</v>
      </c>
      <c r="H530">
        <v>237.22439999999901</v>
      </c>
      <c r="I530" t="s">
        <v>49</v>
      </c>
      <c r="J530" s="1">
        <v>44482</v>
      </c>
      <c r="K530">
        <v>47.209808521034901</v>
      </c>
      <c r="L530" s="1">
        <v>44504</v>
      </c>
      <c r="M530" s="1">
        <v>44507</v>
      </c>
      <c r="N530">
        <v>377.67846816827898</v>
      </c>
      <c r="O530">
        <v>3</v>
      </c>
      <c r="P530" t="str">
        <f>IF(Table1[[#This Row],[Delivery Delay]]&gt;0,"Late","On Time")</f>
        <v>Late</v>
      </c>
      <c r="Q530">
        <v>47.209808521034873</v>
      </c>
      <c r="R530">
        <v>0.64659167846874832</v>
      </c>
      <c r="S530">
        <v>2.647754861032847E-3</v>
      </c>
      <c r="T530">
        <v>0.63</v>
      </c>
      <c r="U530">
        <v>0</v>
      </c>
      <c r="V530">
        <v>31.911266215205952</v>
      </c>
    </row>
    <row r="531" spans="1:22" x14ac:dyDescent="0.35">
      <c r="A531" t="s">
        <v>105</v>
      </c>
      <c r="B531" t="s">
        <v>8</v>
      </c>
      <c r="C531" t="s">
        <v>9</v>
      </c>
      <c r="D531">
        <v>0.88</v>
      </c>
      <c r="E531" t="s">
        <v>36</v>
      </c>
      <c r="F531" t="s">
        <v>34</v>
      </c>
      <c r="G531">
        <v>1</v>
      </c>
      <c r="H531">
        <v>251.995</v>
      </c>
      <c r="I531" t="s">
        <v>51</v>
      </c>
      <c r="J531" s="1">
        <v>44723</v>
      </c>
      <c r="K531">
        <v>46.9254505529453</v>
      </c>
      <c r="L531" s="1">
        <v>44739</v>
      </c>
      <c r="M531" s="1">
        <v>44737</v>
      </c>
      <c r="N531">
        <v>469.25450552945301</v>
      </c>
      <c r="O531">
        <v>-2</v>
      </c>
      <c r="P531" t="str">
        <f>IF(Table1[[#This Row],[Delivery Delay]]&gt;0,"Late","On Time")</f>
        <v>On Time</v>
      </c>
      <c r="Q531">
        <v>46.9254505529453</v>
      </c>
      <c r="R531">
        <v>0.28483827759849439</v>
      </c>
      <c r="S531">
        <v>2.1310397411564851E-3</v>
      </c>
      <c r="T531">
        <v>0.88</v>
      </c>
      <c r="U531">
        <v>0</v>
      </c>
      <c r="V531">
        <v>32.160696744204586</v>
      </c>
    </row>
    <row r="532" spans="1:22" x14ac:dyDescent="0.35">
      <c r="A532" t="s">
        <v>106</v>
      </c>
      <c r="B532" t="s">
        <v>4</v>
      </c>
      <c r="C532" t="s">
        <v>5</v>
      </c>
      <c r="D532">
        <v>0.79</v>
      </c>
      <c r="E532" t="s">
        <v>36</v>
      </c>
      <c r="F532" t="s">
        <v>39</v>
      </c>
      <c r="G532">
        <v>0</v>
      </c>
      <c r="H532">
        <v>724.26199999999903</v>
      </c>
      <c r="I532" t="s">
        <v>49</v>
      </c>
      <c r="J532" s="1">
        <v>44530</v>
      </c>
      <c r="K532">
        <v>49.9536832380956</v>
      </c>
      <c r="L532" s="1">
        <v>44547</v>
      </c>
      <c r="M532" s="1">
        <v>44552</v>
      </c>
      <c r="N532">
        <v>549.49051561905196</v>
      </c>
      <c r="O532">
        <v>5</v>
      </c>
      <c r="P532" t="str">
        <f>IF(Table1[[#This Row],[Delivery Delay]]&gt;0,"Late","On Time")</f>
        <v>Late</v>
      </c>
      <c r="Q532">
        <v>49.953683238095635</v>
      </c>
      <c r="R532">
        <v>0.68170198186802156</v>
      </c>
      <c r="S532">
        <v>1.8198676256921513E-3</v>
      </c>
      <c r="T532">
        <v>0.79</v>
      </c>
      <c r="U532">
        <v>1</v>
      </c>
      <c r="V532">
        <v>57.388635666131194</v>
      </c>
    </row>
    <row r="533" spans="1:22" x14ac:dyDescent="0.35">
      <c r="A533" t="s">
        <v>108</v>
      </c>
      <c r="B533" t="s">
        <v>14</v>
      </c>
      <c r="C533" t="s">
        <v>7</v>
      </c>
      <c r="D533">
        <v>0.87</v>
      </c>
      <c r="E533" t="s">
        <v>37</v>
      </c>
      <c r="F533" t="s">
        <v>34</v>
      </c>
      <c r="G533">
        <v>1</v>
      </c>
      <c r="H533">
        <v>452.64</v>
      </c>
      <c r="I533" t="s">
        <v>49</v>
      </c>
      <c r="J533" s="1">
        <v>44666</v>
      </c>
      <c r="K533">
        <v>76.509659140845201</v>
      </c>
      <c r="L533" s="1">
        <v>44677</v>
      </c>
      <c r="M533" s="1">
        <v>44674</v>
      </c>
      <c r="N533">
        <v>382.54829570422601</v>
      </c>
      <c r="O533">
        <v>-3</v>
      </c>
      <c r="P533" t="str">
        <f>IF(Table1[[#This Row],[Delivery Delay]]&gt;0,"Late","On Time")</f>
        <v>On Time</v>
      </c>
      <c r="Q533">
        <v>76.509659140845201</v>
      </c>
      <c r="R533">
        <v>0.70085470085470081</v>
      </c>
      <c r="S533">
        <v>2.6140490265657013E-3</v>
      </c>
      <c r="T533">
        <v>0.87</v>
      </c>
      <c r="U533">
        <v>0</v>
      </c>
      <c r="V533">
        <v>40.195515487890987</v>
      </c>
    </row>
    <row r="534" spans="1:22" x14ac:dyDescent="0.35">
      <c r="A534" t="s">
        <v>105</v>
      </c>
      <c r="B534" t="s">
        <v>4</v>
      </c>
      <c r="C534" t="s">
        <v>7</v>
      </c>
      <c r="D534">
        <v>0.77</v>
      </c>
      <c r="E534" t="s">
        <v>37</v>
      </c>
      <c r="F534" t="s">
        <v>34</v>
      </c>
      <c r="G534">
        <v>1</v>
      </c>
      <c r="H534">
        <v>346.28299999999899</v>
      </c>
      <c r="I534" t="s">
        <v>51</v>
      </c>
      <c r="J534" s="1">
        <v>44230</v>
      </c>
      <c r="K534">
        <v>48.710446335786699</v>
      </c>
      <c r="L534" s="1">
        <v>44250</v>
      </c>
      <c r="M534" s="1">
        <v>44248</v>
      </c>
      <c r="N534">
        <v>487.104463357866</v>
      </c>
      <c r="O534">
        <v>-2</v>
      </c>
      <c r="P534" t="str">
        <f>IF(Table1[[#This Row],[Delivery Delay]]&gt;0,"Late","On Time")</f>
        <v>On Time</v>
      </c>
      <c r="Q534">
        <v>48.7104463357866</v>
      </c>
      <c r="R534">
        <v>0.36409335462835418</v>
      </c>
      <c r="S534">
        <v>2.052947725230183E-3</v>
      </c>
      <c r="T534">
        <v>0.77</v>
      </c>
      <c r="U534">
        <v>0</v>
      </c>
      <c r="V534">
        <v>30.443455524323987</v>
      </c>
    </row>
    <row r="535" spans="1:22" x14ac:dyDescent="0.35">
      <c r="A535" t="s">
        <v>106</v>
      </c>
      <c r="B535" t="s">
        <v>15</v>
      </c>
      <c r="C535" t="s">
        <v>9</v>
      </c>
      <c r="D535">
        <v>0.7</v>
      </c>
      <c r="E535" t="s">
        <v>35</v>
      </c>
      <c r="F535" t="s">
        <v>34</v>
      </c>
      <c r="G535">
        <v>1</v>
      </c>
      <c r="H535">
        <v>868.04100000000005</v>
      </c>
      <c r="I535" t="s">
        <v>49</v>
      </c>
      <c r="J535" s="1">
        <v>45183</v>
      </c>
      <c r="K535">
        <v>54.956665736723998</v>
      </c>
      <c r="L535" s="1">
        <v>45196</v>
      </c>
      <c r="M535" s="1">
        <v>45195</v>
      </c>
      <c r="N535">
        <v>549.56665736724005</v>
      </c>
      <c r="O535">
        <v>-1</v>
      </c>
      <c r="P535" t="str">
        <f>IF(Table1[[#This Row],[Delivery Delay]]&gt;0,"Late","On Time")</f>
        <v>On Time</v>
      </c>
      <c r="Q535">
        <v>54.956665736724005</v>
      </c>
      <c r="R535">
        <v>0.53680828129899005</v>
      </c>
      <c r="S535">
        <v>1.8196154853910001E-3</v>
      </c>
      <c r="T535">
        <v>0.7</v>
      </c>
      <c r="U535">
        <v>0</v>
      </c>
      <c r="V535">
        <v>31.79075409054153</v>
      </c>
    </row>
    <row r="536" spans="1:22" x14ac:dyDescent="0.35">
      <c r="A536" t="s">
        <v>108</v>
      </c>
      <c r="B536" t="s">
        <v>12</v>
      </c>
      <c r="C536" t="s">
        <v>9</v>
      </c>
      <c r="D536">
        <v>0.92</v>
      </c>
      <c r="E536" t="s">
        <v>38</v>
      </c>
      <c r="F536" t="s">
        <v>39</v>
      </c>
      <c r="G536">
        <v>0</v>
      </c>
      <c r="H536">
        <v>451.9008</v>
      </c>
      <c r="I536" t="s">
        <v>45</v>
      </c>
      <c r="J536" s="1">
        <v>45276</v>
      </c>
      <c r="K536">
        <v>70.965692243761595</v>
      </c>
      <c r="L536" s="1">
        <v>45293</v>
      </c>
      <c r="M536" s="1">
        <v>45293</v>
      </c>
      <c r="N536">
        <v>1064.48538365642</v>
      </c>
      <c r="O536">
        <v>0</v>
      </c>
      <c r="P536" t="str">
        <f>IF(Table1[[#This Row],[Delivery Delay]]&gt;0,"Late","On Time")</f>
        <v>On Time</v>
      </c>
      <c r="Q536">
        <v>70.965692243761339</v>
      </c>
      <c r="R536">
        <v>0.88320387256557475</v>
      </c>
      <c r="S536">
        <v>9.3942107177186597E-4</v>
      </c>
      <c r="T536">
        <v>0.92</v>
      </c>
      <c r="U536">
        <v>1</v>
      </c>
      <c r="V536">
        <v>65.292260083464654</v>
      </c>
    </row>
    <row r="537" spans="1:22" x14ac:dyDescent="0.35">
      <c r="A537" t="s">
        <v>107</v>
      </c>
      <c r="B537" t="s">
        <v>10</v>
      </c>
      <c r="C537" t="s">
        <v>5</v>
      </c>
      <c r="D537">
        <v>0.91</v>
      </c>
      <c r="E537" t="s">
        <v>36</v>
      </c>
      <c r="F537" t="s">
        <v>34</v>
      </c>
      <c r="G537">
        <v>1</v>
      </c>
      <c r="H537">
        <v>61.279999999999902</v>
      </c>
      <c r="I537" t="s">
        <v>46</v>
      </c>
      <c r="J537" s="1">
        <v>45055</v>
      </c>
      <c r="K537">
        <v>23.849074283696499</v>
      </c>
      <c r="L537" s="1">
        <v>45067</v>
      </c>
      <c r="M537" s="1">
        <v>45073</v>
      </c>
      <c r="N537">
        <v>238.49074283696501</v>
      </c>
      <c r="O537">
        <v>6</v>
      </c>
      <c r="P537" t="str">
        <f>IF(Table1[[#This Row],[Delivery Delay]]&gt;0,"Late","On Time")</f>
        <v>Late</v>
      </c>
      <c r="Q537">
        <v>23.849074283696503</v>
      </c>
      <c r="R537">
        <v>0.10483815780469428</v>
      </c>
      <c r="S537">
        <v>4.1930348662782748E-3</v>
      </c>
      <c r="T537">
        <v>0.91</v>
      </c>
      <c r="U537">
        <v>0</v>
      </c>
      <c r="V537">
        <v>29.522554202082237</v>
      </c>
    </row>
    <row r="538" spans="1:22" x14ac:dyDescent="0.35">
      <c r="A538" t="s">
        <v>100</v>
      </c>
      <c r="B538" t="s">
        <v>12</v>
      </c>
      <c r="C538" t="s">
        <v>11</v>
      </c>
      <c r="D538">
        <v>0.87</v>
      </c>
      <c r="E538" t="s">
        <v>38</v>
      </c>
      <c r="F538" t="s">
        <v>34</v>
      </c>
      <c r="G538">
        <v>1</v>
      </c>
      <c r="H538">
        <v>31.513599999999901</v>
      </c>
      <c r="I538" t="s">
        <v>50</v>
      </c>
      <c r="J538" s="1">
        <v>44597</v>
      </c>
      <c r="K538">
        <v>79.956484674323505</v>
      </c>
      <c r="L538" s="1">
        <v>44607</v>
      </c>
      <c r="M538" s="1">
        <v>44604</v>
      </c>
      <c r="N538">
        <v>639.65187739458804</v>
      </c>
      <c r="O538">
        <v>-3</v>
      </c>
      <c r="P538" t="str">
        <f>IF(Table1[[#This Row],[Delivery Delay]]&gt;0,"Late","On Time")</f>
        <v>On Time</v>
      </c>
      <c r="Q538">
        <v>79.956484674323505</v>
      </c>
      <c r="R538">
        <v>0.24675210784129603</v>
      </c>
      <c r="S538">
        <v>1.5633503712568963E-3</v>
      </c>
      <c r="T538">
        <v>0.87</v>
      </c>
      <c r="U538">
        <v>0</v>
      </c>
      <c r="V538">
        <v>31.081942667963631</v>
      </c>
    </row>
    <row r="539" spans="1:22" x14ac:dyDescent="0.35">
      <c r="A539" t="s">
        <v>101</v>
      </c>
      <c r="B539" t="s">
        <v>14</v>
      </c>
      <c r="C539" t="s">
        <v>7</v>
      </c>
      <c r="D539">
        <v>0.71</v>
      </c>
      <c r="E539" t="s">
        <v>37</v>
      </c>
      <c r="F539" t="s">
        <v>34</v>
      </c>
      <c r="G539">
        <v>1</v>
      </c>
      <c r="H539">
        <v>226.1</v>
      </c>
      <c r="I539" t="s">
        <v>46</v>
      </c>
      <c r="J539" s="1">
        <v>45048</v>
      </c>
      <c r="K539">
        <v>12.3823661034943</v>
      </c>
      <c r="L539" s="1">
        <v>45063</v>
      </c>
      <c r="M539" s="1">
        <v>45066</v>
      </c>
      <c r="N539">
        <v>148.58839324193099</v>
      </c>
      <c r="O539">
        <v>3</v>
      </c>
      <c r="P539" t="str">
        <f>IF(Table1[[#This Row],[Delivery Delay]]&gt;0,"Late","On Time")</f>
        <v>Late</v>
      </c>
      <c r="Q539">
        <v>12.382366103494249</v>
      </c>
      <c r="R539">
        <v>0.29627591267657311</v>
      </c>
      <c r="S539">
        <v>6.7300007637326308E-3</v>
      </c>
      <c r="T539">
        <v>0.71</v>
      </c>
      <c r="U539">
        <v>0</v>
      </c>
      <c r="V539">
        <v>27.427418276443444</v>
      </c>
    </row>
    <row r="540" spans="1:22" x14ac:dyDescent="0.35">
      <c r="A540" t="s">
        <v>102</v>
      </c>
      <c r="B540" t="s">
        <v>12</v>
      </c>
      <c r="C540" t="s">
        <v>7</v>
      </c>
      <c r="D540">
        <v>0.83</v>
      </c>
      <c r="E540" t="s">
        <v>37</v>
      </c>
      <c r="F540" t="s">
        <v>34</v>
      </c>
      <c r="G540">
        <v>1</v>
      </c>
      <c r="H540">
        <v>263.98749999999899</v>
      </c>
      <c r="I540" t="s">
        <v>51</v>
      </c>
      <c r="J540" s="1">
        <v>44527</v>
      </c>
      <c r="K540">
        <v>30.9909705318444</v>
      </c>
      <c r="L540" s="1">
        <v>44542</v>
      </c>
      <c r="M540" s="1">
        <v>44540</v>
      </c>
      <c r="N540">
        <v>247.927764254755</v>
      </c>
      <c r="O540">
        <v>-2</v>
      </c>
      <c r="P540" t="str">
        <f>IF(Table1[[#This Row],[Delivery Delay]]&gt;0,"Late","On Time")</f>
        <v>On Time</v>
      </c>
      <c r="Q540">
        <v>30.990970531844376</v>
      </c>
      <c r="R540">
        <v>0.49160827766009269</v>
      </c>
      <c r="S540">
        <v>4.03343289528664E-3</v>
      </c>
      <c r="T540">
        <v>0.83</v>
      </c>
      <c r="U540">
        <v>0</v>
      </c>
      <c r="V540">
        <v>34.853168540060452</v>
      </c>
    </row>
    <row r="541" spans="1:22" x14ac:dyDescent="0.35">
      <c r="A541" t="s">
        <v>99</v>
      </c>
      <c r="B541" t="s">
        <v>12</v>
      </c>
      <c r="C541" t="s">
        <v>11</v>
      </c>
      <c r="D541">
        <v>0.74</v>
      </c>
      <c r="E541" t="s">
        <v>35</v>
      </c>
      <c r="F541" t="s">
        <v>34</v>
      </c>
      <c r="G541">
        <v>1</v>
      </c>
      <c r="H541">
        <v>210.867999999999</v>
      </c>
      <c r="I541" t="s">
        <v>47</v>
      </c>
      <c r="J541" s="1">
        <v>44377</v>
      </c>
      <c r="K541">
        <v>16.771079136670799</v>
      </c>
      <c r="L541" s="1">
        <v>44388</v>
      </c>
      <c r="M541" s="1">
        <v>44387</v>
      </c>
      <c r="N541">
        <v>100.626474820025</v>
      </c>
      <c r="O541">
        <v>-1</v>
      </c>
      <c r="P541" t="str">
        <f>IF(Table1[[#This Row],[Delivery Delay]]&gt;0,"Late","On Time")</f>
        <v>On Time</v>
      </c>
      <c r="Q541">
        <v>16.771079136670831</v>
      </c>
      <c r="R541">
        <v>0.18932847774401759</v>
      </c>
      <c r="S541">
        <v>9.9377425452749409E-3</v>
      </c>
      <c r="T541">
        <v>0.74</v>
      </c>
      <c r="U541">
        <v>0</v>
      </c>
      <c r="V541">
        <v>26.2847018312386</v>
      </c>
    </row>
    <row r="542" spans="1:22" x14ac:dyDescent="0.35">
      <c r="A542" t="s">
        <v>103</v>
      </c>
      <c r="B542" t="s">
        <v>14</v>
      </c>
      <c r="C542" t="s">
        <v>5</v>
      </c>
      <c r="D542">
        <v>0.64</v>
      </c>
      <c r="E542" t="s">
        <v>36</v>
      </c>
      <c r="F542" t="s">
        <v>39</v>
      </c>
      <c r="G542">
        <v>0</v>
      </c>
      <c r="H542">
        <v>46.770000000000202</v>
      </c>
      <c r="I542" t="s">
        <v>50</v>
      </c>
      <c r="J542" s="1">
        <v>44395</v>
      </c>
      <c r="K542">
        <v>57.959275349880798</v>
      </c>
      <c r="L542" s="1">
        <v>44409</v>
      </c>
      <c r="M542" s="1">
        <v>44409</v>
      </c>
      <c r="N542">
        <v>637.55202884868902</v>
      </c>
      <c r="O542">
        <v>0</v>
      </c>
      <c r="P542" t="str">
        <f>IF(Table1[[#This Row],[Delivery Delay]]&gt;0,"Late","On Time")</f>
        <v>On Time</v>
      </c>
      <c r="Q542">
        <v>57.959275349880819</v>
      </c>
      <c r="R542">
        <v>4.5984131197829299E-2</v>
      </c>
      <c r="S542">
        <v>1.568499439654879E-3</v>
      </c>
      <c r="T542">
        <v>0.64</v>
      </c>
      <c r="U542">
        <v>1</v>
      </c>
      <c r="V542">
        <v>40.166737607146231</v>
      </c>
    </row>
    <row r="543" spans="1:22" x14ac:dyDescent="0.35">
      <c r="A543" t="s">
        <v>104</v>
      </c>
      <c r="B543" t="s">
        <v>8</v>
      </c>
      <c r="C543" t="s">
        <v>5</v>
      </c>
      <c r="D543">
        <v>0.96</v>
      </c>
      <c r="E543" t="s">
        <v>36</v>
      </c>
      <c r="F543" t="s">
        <v>34</v>
      </c>
      <c r="G543">
        <v>1</v>
      </c>
      <c r="H543">
        <v>100.73119999999901</v>
      </c>
      <c r="I543" t="s">
        <v>51</v>
      </c>
      <c r="J543" s="1">
        <v>45335</v>
      </c>
      <c r="K543">
        <v>74.689363018940199</v>
      </c>
      <c r="L543" s="1">
        <v>45350</v>
      </c>
      <c r="M543" s="1">
        <v>45349</v>
      </c>
      <c r="N543">
        <v>597.51490415152102</v>
      </c>
      <c r="O543">
        <v>-1</v>
      </c>
      <c r="P543" t="str">
        <f>IF(Table1[[#This Row],[Delivery Delay]]&gt;0,"Late","On Time")</f>
        <v>On Time</v>
      </c>
      <c r="Q543">
        <v>74.689363018940128</v>
      </c>
      <c r="R543">
        <v>7.3762722508426262E-2</v>
      </c>
      <c r="S543">
        <v>1.6735984208126374E-3</v>
      </c>
      <c r="T543">
        <v>0.96</v>
      </c>
      <c r="U543">
        <v>0</v>
      </c>
      <c r="V543">
        <v>30.325462402792901</v>
      </c>
    </row>
    <row r="544" spans="1:22" x14ac:dyDescent="0.35">
      <c r="A544" t="s">
        <v>105</v>
      </c>
      <c r="B544" t="s">
        <v>8</v>
      </c>
      <c r="C544" t="s">
        <v>9</v>
      </c>
      <c r="D544">
        <v>0.65</v>
      </c>
      <c r="E544" t="s">
        <v>37</v>
      </c>
      <c r="F544" t="s">
        <v>39</v>
      </c>
      <c r="G544">
        <v>0</v>
      </c>
      <c r="H544">
        <v>-13.189599999999899</v>
      </c>
      <c r="I544" t="s">
        <v>47</v>
      </c>
      <c r="J544" s="1">
        <v>44493</v>
      </c>
      <c r="K544">
        <v>22.318775494970101</v>
      </c>
      <c r="L544" s="1">
        <v>44513</v>
      </c>
      <c r="M544" s="1">
        <v>44513</v>
      </c>
      <c r="N544">
        <v>312.46285692958202</v>
      </c>
      <c r="O544">
        <v>0</v>
      </c>
      <c r="P544" t="str">
        <f>IF(Table1[[#This Row],[Delivery Delay]]&gt;0,"Late","On Time")</f>
        <v>On Time</v>
      </c>
      <c r="Q544">
        <v>22.318775494970144</v>
      </c>
      <c r="R544">
        <v>0</v>
      </c>
      <c r="S544">
        <v>3.2003803902534386E-3</v>
      </c>
      <c r="T544">
        <v>0.65</v>
      </c>
      <c r="U544">
        <v>1</v>
      </c>
      <c r="V544">
        <v>39.596011411707607</v>
      </c>
    </row>
    <row r="545" spans="1:22" x14ac:dyDescent="0.35">
      <c r="A545" t="s">
        <v>106</v>
      </c>
      <c r="B545" t="s">
        <v>14</v>
      </c>
      <c r="C545" t="s">
        <v>9</v>
      </c>
      <c r="D545">
        <v>0.97</v>
      </c>
      <c r="E545" t="s">
        <v>36</v>
      </c>
      <c r="F545" t="s">
        <v>34</v>
      </c>
      <c r="G545">
        <v>1</v>
      </c>
      <c r="H545">
        <v>548.08320000000003</v>
      </c>
      <c r="I545" t="s">
        <v>46</v>
      </c>
      <c r="J545" s="1">
        <v>45028</v>
      </c>
      <c r="K545">
        <v>25.554403465401499</v>
      </c>
      <c r="L545" s="1">
        <v>45052</v>
      </c>
      <c r="M545" s="1">
        <v>45050</v>
      </c>
      <c r="N545">
        <v>204.43522772321199</v>
      </c>
      <c r="O545">
        <v>-2</v>
      </c>
      <c r="P545" t="str">
        <f>IF(Table1[[#This Row],[Delivery Delay]]&gt;0,"Late","On Time")</f>
        <v>On Time</v>
      </c>
      <c r="Q545">
        <v>25.554403465401499</v>
      </c>
      <c r="R545">
        <v>0.68994812579117992</v>
      </c>
      <c r="S545">
        <v>4.8915248665162316E-3</v>
      </c>
      <c r="T545">
        <v>0.97</v>
      </c>
      <c r="U545">
        <v>0</v>
      </c>
      <c r="V545">
        <v>43.04570826181908</v>
      </c>
    </row>
    <row r="546" spans="1:22" x14ac:dyDescent="0.35">
      <c r="A546" t="s">
        <v>108</v>
      </c>
      <c r="B546" t="s">
        <v>10</v>
      </c>
      <c r="C546" t="s">
        <v>9</v>
      </c>
      <c r="D546">
        <v>0.77</v>
      </c>
      <c r="E546" t="s">
        <v>36</v>
      </c>
      <c r="F546" t="s">
        <v>39</v>
      </c>
      <c r="G546">
        <v>0</v>
      </c>
      <c r="H546">
        <v>33.586799999999897</v>
      </c>
      <c r="I546" t="s">
        <v>51</v>
      </c>
      <c r="J546" s="1">
        <v>44469</v>
      </c>
      <c r="K546">
        <v>11.9593869189803</v>
      </c>
      <c r="L546" s="1">
        <v>44488</v>
      </c>
      <c r="M546" s="1">
        <v>44488</v>
      </c>
      <c r="N546">
        <v>59.7969345949017</v>
      </c>
      <c r="O546">
        <v>0</v>
      </c>
      <c r="P546" t="str">
        <f>IF(Table1[[#This Row],[Delivery Delay]]&gt;0,"Late","On Time")</f>
        <v>On Time</v>
      </c>
      <c r="Q546">
        <v>11.959386918980339</v>
      </c>
      <c r="R546">
        <v>0.18880996229062469</v>
      </c>
      <c r="S546">
        <v>1.6723265277301693E-2</v>
      </c>
      <c r="T546">
        <v>0.77</v>
      </c>
      <c r="U546">
        <v>1</v>
      </c>
      <c r="V546">
        <v>47.377897204131543</v>
      </c>
    </row>
    <row r="547" spans="1:22" x14ac:dyDescent="0.35">
      <c r="A547" t="s">
        <v>107</v>
      </c>
      <c r="B547" t="s">
        <v>15</v>
      </c>
      <c r="C547" t="s">
        <v>7</v>
      </c>
      <c r="D547">
        <v>0.67</v>
      </c>
      <c r="E547" t="s">
        <v>35</v>
      </c>
      <c r="F547" t="s">
        <v>34</v>
      </c>
      <c r="G547">
        <v>1</v>
      </c>
      <c r="H547">
        <v>306.142799999999</v>
      </c>
      <c r="I547" t="s">
        <v>50</v>
      </c>
      <c r="J547" s="1">
        <v>44331</v>
      </c>
      <c r="K547">
        <v>30.991689008411701</v>
      </c>
      <c r="L547" s="1">
        <v>44345</v>
      </c>
      <c r="M547" s="1">
        <v>44351</v>
      </c>
      <c r="N547">
        <v>371.90026810094002</v>
      </c>
      <c r="O547">
        <v>6</v>
      </c>
      <c r="P547" t="str">
        <f>IF(Table1[[#This Row],[Delivery Delay]]&gt;0,"Late","On Time")</f>
        <v>Late</v>
      </c>
      <c r="Q547">
        <v>30.991689008411669</v>
      </c>
      <c r="R547">
        <v>0.4179921486899178</v>
      </c>
      <c r="S547">
        <v>2.6888929258006965E-3</v>
      </c>
      <c r="T547">
        <v>0.67</v>
      </c>
      <c r="U547">
        <v>0</v>
      </c>
      <c r="V547">
        <v>28.540509761572373</v>
      </c>
    </row>
    <row r="548" spans="1:22" x14ac:dyDescent="0.35">
      <c r="A548" t="s">
        <v>100</v>
      </c>
      <c r="B548" t="s">
        <v>13</v>
      </c>
      <c r="C548" t="s">
        <v>9</v>
      </c>
      <c r="D548">
        <v>0.81</v>
      </c>
      <c r="E548" t="s">
        <v>35</v>
      </c>
      <c r="F548" t="s">
        <v>34</v>
      </c>
      <c r="G548">
        <v>1</v>
      </c>
      <c r="H548">
        <v>328.4</v>
      </c>
      <c r="I548" t="s">
        <v>50</v>
      </c>
      <c r="J548" s="1">
        <v>44326</v>
      </c>
      <c r="K548">
        <v>17.740907162855802</v>
      </c>
      <c r="L548" s="1">
        <v>44338</v>
      </c>
      <c r="M548" s="1">
        <v>44342</v>
      </c>
      <c r="N548">
        <v>195.14997879141399</v>
      </c>
      <c r="O548">
        <v>4</v>
      </c>
      <c r="P548" t="str">
        <f>IF(Table1[[#This Row],[Delivery Delay]]&gt;0,"Late","On Time")</f>
        <v>Late</v>
      </c>
      <c r="Q548">
        <v>17.740907162855816</v>
      </c>
      <c r="R548">
        <v>0.44702167047805724</v>
      </c>
      <c r="S548">
        <v>5.1242639440348074E-3</v>
      </c>
      <c r="T548">
        <v>0.81</v>
      </c>
      <c r="U548">
        <v>0</v>
      </c>
      <c r="V548">
        <v>33.394161327882188</v>
      </c>
    </row>
    <row r="549" spans="1:22" x14ac:dyDescent="0.35">
      <c r="A549" t="s">
        <v>101</v>
      </c>
      <c r="B549" t="s">
        <v>12</v>
      </c>
      <c r="C549" t="s">
        <v>5</v>
      </c>
      <c r="D549">
        <v>0.94</v>
      </c>
      <c r="E549" t="s">
        <v>38</v>
      </c>
      <c r="F549" t="s">
        <v>34</v>
      </c>
      <c r="G549">
        <v>1</v>
      </c>
      <c r="H549">
        <v>114.0069</v>
      </c>
      <c r="I549" t="s">
        <v>48</v>
      </c>
      <c r="J549" s="1">
        <v>45065</v>
      </c>
      <c r="K549">
        <v>27.868535870263798</v>
      </c>
      <c r="L549" s="1">
        <v>45086</v>
      </c>
      <c r="M549" s="1">
        <v>45084</v>
      </c>
      <c r="N549">
        <v>529.50218153501305</v>
      </c>
      <c r="O549">
        <v>-2</v>
      </c>
      <c r="P549" t="str">
        <f>IF(Table1[[#This Row],[Delivery Delay]]&gt;0,"Late","On Time")</f>
        <v>On Time</v>
      </c>
      <c r="Q549">
        <v>27.868535870263845</v>
      </c>
      <c r="R549">
        <v>0.37110787550670249</v>
      </c>
      <c r="S549">
        <v>1.8885663456589092E-3</v>
      </c>
      <c r="T549">
        <v>0.94</v>
      </c>
      <c r="U549">
        <v>0</v>
      </c>
      <c r="V549">
        <v>35.678814500503819</v>
      </c>
    </row>
    <row r="550" spans="1:22" x14ac:dyDescent="0.35">
      <c r="A550" t="s">
        <v>102</v>
      </c>
      <c r="B550" t="s">
        <v>10</v>
      </c>
      <c r="C550" t="s">
        <v>11</v>
      </c>
      <c r="D550">
        <v>0.89</v>
      </c>
      <c r="E550" t="s">
        <v>35</v>
      </c>
      <c r="F550" t="s">
        <v>34</v>
      </c>
      <c r="G550">
        <v>1</v>
      </c>
      <c r="H550">
        <v>46.816699999999898</v>
      </c>
      <c r="I550" t="s">
        <v>45</v>
      </c>
      <c r="J550" s="1">
        <v>45038</v>
      </c>
      <c r="K550">
        <v>50.712710492731198</v>
      </c>
      <c r="L550" s="1">
        <v>45060</v>
      </c>
      <c r="M550" s="1">
        <v>45059</v>
      </c>
      <c r="N550">
        <v>304.27626295638697</v>
      </c>
      <c r="O550">
        <v>-1</v>
      </c>
      <c r="P550" t="str">
        <f>IF(Table1[[#This Row],[Delivery Delay]]&gt;0,"Late","On Time")</f>
        <v>On Time</v>
      </c>
      <c r="Q550">
        <v>50.712710492731162</v>
      </c>
      <c r="R550">
        <v>6.2430865477871765E-2</v>
      </c>
      <c r="S550">
        <v>3.2864870571364078E-3</v>
      </c>
      <c r="T550">
        <v>0.89</v>
      </c>
      <c r="U550">
        <v>0</v>
      </c>
      <c r="V550">
        <v>28.047211921271533</v>
      </c>
    </row>
    <row r="551" spans="1:22" x14ac:dyDescent="0.35">
      <c r="A551" t="s">
        <v>99</v>
      </c>
      <c r="B551" t="s">
        <v>12</v>
      </c>
      <c r="C551" t="s">
        <v>5</v>
      </c>
      <c r="D551">
        <v>0.91</v>
      </c>
      <c r="E551" t="s">
        <v>35</v>
      </c>
      <c r="F551" t="s">
        <v>34</v>
      </c>
      <c r="G551">
        <v>1</v>
      </c>
      <c r="H551">
        <v>63.896499999999797</v>
      </c>
      <c r="I551" t="s">
        <v>49</v>
      </c>
      <c r="J551" s="1">
        <v>44215</v>
      </c>
      <c r="K551">
        <v>32.976419447767299</v>
      </c>
      <c r="L551" s="1">
        <v>44226</v>
      </c>
      <c r="M551" s="1">
        <v>44226</v>
      </c>
      <c r="N551">
        <v>428.69345282097601</v>
      </c>
      <c r="O551">
        <v>0</v>
      </c>
      <c r="P551" t="str">
        <f>IF(Table1[[#This Row],[Delivery Delay]]&gt;0,"Late","On Time")</f>
        <v>On Time</v>
      </c>
      <c r="Q551">
        <v>32.976419447767384</v>
      </c>
      <c r="R551">
        <v>6.1652562508654175E-2</v>
      </c>
      <c r="S551">
        <v>2.332669168189055E-3</v>
      </c>
      <c r="T551">
        <v>0.91</v>
      </c>
      <c r="U551">
        <v>0</v>
      </c>
      <c r="V551">
        <v>28.603031325218758</v>
      </c>
    </row>
    <row r="552" spans="1:22" x14ac:dyDescent="0.35">
      <c r="A552" t="s">
        <v>103</v>
      </c>
      <c r="B552" t="s">
        <v>13</v>
      </c>
      <c r="C552" t="s">
        <v>7</v>
      </c>
      <c r="D552">
        <v>0.86</v>
      </c>
      <c r="E552" t="s">
        <v>37</v>
      </c>
      <c r="F552" t="s">
        <v>34</v>
      </c>
      <c r="G552">
        <v>1</v>
      </c>
      <c r="H552">
        <v>1703.1042</v>
      </c>
      <c r="I552" t="s">
        <v>47</v>
      </c>
      <c r="J552" s="1">
        <v>44596</v>
      </c>
      <c r="K552">
        <v>10.057012495192399</v>
      </c>
      <c r="L552" s="1">
        <v>44616</v>
      </c>
      <c r="M552" s="1">
        <v>44617</v>
      </c>
      <c r="N552">
        <v>110.627137447116</v>
      </c>
      <c r="O552">
        <v>1</v>
      </c>
      <c r="P552" t="str">
        <f>IF(Table1[[#This Row],[Delivery Delay]]&gt;0,"Late","On Time")</f>
        <v>Late</v>
      </c>
      <c r="Q552">
        <v>10.057012495192364</v>
      </c>
      <c r="R552">
        <v>0.52152166485252738</v>
      </c>
      <c r="S552">
        <v>9.0393733678414863E-3</v>
      </c>
      <c r="T552">
        <v>0.86</v>
      </c>
      <c r="U552">
        <v>0</v>
      </c>
      <c r="V552">
        <v>36.501614498085786</v>
      </c>
    </row>
    <row r="553" spans="1:22" x14ac:dyDescent="0.35">
      <c r="A553" t="s">
        <v>104</v>
      </c>
      <c r="B553" t="s">
        <v>15</v>
      </c>
      <c r="C553" t="s">
        <v>5</v>
      </c>
      <c r="D553">
        <v>0.87</v>
      </c>
      <c r="E553" t="s">
        <v>35</v>
      </c>
      <c r="F553" t="s">
        <v>34</v>
      </c>
      <c r="G553">
        <v>1</v>
      </c>
      <c r="H553">
        <v>129.414999999999</v>
      </c>
      <c r="I553" t="s">
        <v>48</v>
      </c>
      <c r="J553" s="1">
        <v>44502</v>
      </c>
      <c r="K553">
        <v>16.633463059489699</v>
      </c>
      <c r="L553" s="1">
        <v>44519</v>
      </c>
      <c r="M553" s="1">
        <v>44517</v>
      </c>
      <c r="N553">
        <v>66.533852237958996</v>
      </c>
      <c r="O553">
        <v>-2</v>
      </c>
      <c r="P553" t="str">
        <f>IF(Table1[[#This Row],[Delivery Delay]]&gt;0,"Late","On Time")</f>
        <v>On Time</v>
      </c>
      <c r="Q553">
        <v>16.633463059489749</v>
      </c>
      <c r="R553">
        <v>0.54464154199019232</v>
      </c>
      <c r="S553">
        <v>1.5029942899194982E-2</v>
      </c>
      <c r="T553">
        <v>0.87</v>
      </c>
      <c r="U553">
        <v>0</v>
      </c>
      <c r="V553">
        <v>37.443729126779694</v>
      </c>
    </row>
    <row r="554" spans="1:22" x14ac:dyDescent="0.35">
      <c r="A554" t="s">
        <v>105</v>
      </c>
      <c r="B554" t="s">
        <v>8</v>
      </c>
      <c r="C554" t="s">
        <v>9</v>
      </c>
      <c r="D554">
        <v>0.93</v>
      </c>
      <c r="E554" t="s">
        <v>36</v>
      </c>
      <c r="F554" t="s">
        <v>34</v>
      </c>
      <c r="G554">
        <v>1</v>
      </c>
      <c r="H554">
        <v>295.59199999999998</v>
      </c>
      <c r="I554" t="s">
        <v>49</v>
      </c>
      <c r="J554" s="1">
        <v>45098</v>
      </c>
      <c r="K554">
        <v>39.521925721653901</v>
      </c>
      <c r="L554" s="1">
        <v>45112</v>
      </c>
      <c r="M554" s="1">
        <v>45110</v>
      </c>
      <c r="N554">
        <v>237.13155432992301</v>
      </c>
      <c r="O554">
        <v>-2</v>
      </c>
      <c r="P554" t="str">
        <f>IF(Table1[[#This Row],[Delivery Delay]]&gt;0,"Late","On Time")</f>
        <v>On Time</v>
      </c>
      <c r="Q554">
        <v>39.521925721653837</v>
      </c>
      <c r="R554">
        <v>0.35512859943869901</v>
      </c>
      <c r="S554">
        <v>4.2170684657542121E-3</v>
      </c>
      <c r="T554">
        <v>0.93</v>
      </c>
      <c r="U554">
        <v>0</v>
      </c>
      <c r="V554">
        <v>35.129084042746612</v>
      </c>
    </row>
    <row r="555" spans="1:22" x14ac:dyDescent="0.35">
      <c r="A555" t="s">
        <v>106</v>
      </c>
      <c r="B555" t="s">
        <v>10</v>
      </c>
      <c r="C555" t="s">
        <v>7</v>
      </c>
      <c r="D555">
        <v>0.7</v>
      </c>
      <c r="E555" t="s">
        <v>36</v>
      </c>
      <c r="F555" t="s">
        <v>39</v>
      </c>
      <c r="G555">
        <v>0</v>
      </c>
      <c r="H555">
        <v>392.70179999999999</v>
      </c>
      <c r="I555" t="s">
        <v>49</v>
      </c>
      <c r="J555" s="1">
        <v>44753</v>
      </c>
      <c r="K555">
        <v>51.798144478342202</v>
      </c>
      <c r="L555" s="1">
        <v>44767</v>
      </c>
      <c r="M555" s="1">
        <v>44768</v>
      </c>
      <c r="N555">
        <v>414.38515582673801</v>
      </c>
      <c r="O555">
        <v>1</v>
      </c>
      <c r="P555" t="str">
        <f>IF(Table1[[#This Row],[Delivery Delay]]&gt;0,"Late","On Time")</f>
        <v>Late</v>
      </c>
      <c r="Q555">
        <v>51.798144478342252</v>
      </c>
      <c r="R555">
        <v>0.33738954988986558</v>
      </c>
      <c r="S555">
        <v>2.4132138565748197E-3</v>
      </c>
      <c r="T555">
        <v>0.7</v>
      </c>
      <c r="U555">
        <v>1</v>
      </c>
      <c r="V555">
        <v>47.820187413494558</v>
      </c>
    </row>
    <row r="556" spans="1:22" x14ac:dyDescent="0.35">
      <c r="A556" t="s">
        <v>108</v>
      </c>
      <c r="B556" t="s">
        <v>6</v>
      </c>
      <c r="C556" t="s">
        <v>11</v>
      </c>
      <c r="D556">
        <v>0.79</v>
      </c>
      <c r="E556" t="s">
        <v>38</v>
      </c>
      <c r="F556" t="s">
        <v>34</v>
      </c>
      <c r="G556">
        <v>1</v>
      </c>
      <c r="H556">
        <v>806.1</v>
      </c>
      <c r="I556" t="s">
        <v>51</v>
      </c>
      <c r="J556" s="1">
        <v>45229</v>
      </c>
      <c r="K556">
        <v>12.1121960862999</v>
      </c>
      <c r="L556" s="1">
        <v>45243</v>
      </c>
      <c r="M556" s="1">
        <v>45249</v>
      </c>
      <c r="N556">
        <v>96.897568690399595</v>
      </c>
      <c r="O556">
        <v>6</v>
      </c>
      <c r="P556" t="str">
        <f>IF(Table1[[#This Row],[Delivery Delay]]&gt;0,"Late","On Time")</f>
        <v>Late</v>
      </c>
      <c r="Q556">
        <v>12.112196086299949</v>
      </c>
      <c r="R556">
        <v>0.52713147879311018</v>
      </c>
      <c r="S556">
        <v>1.0320176383322175E-2</v>
      </c>
      <c r="T556">
        <v>0.79</v>
      </c>
      <c r="U556">
        <v>0</v>
      </c>
      <c r="V556">
        <v>34.552234867361868</v>
      </c>
    </row>
    <row r="557" spans="1:22" x14ac:dyDescent="0.35">
      <c r="A557" t="s">
        <v>101</v>
      </c>
      <c r="B557" t="s">
        <v>6</v>
      </c>
      <c r="C557" t="s">
        <v>9</v>
      </c>
      <c r="D557">
        <v>0.69</v>
      </c>
      <c r="E557" t="s">
        <v>37</v>
      </c>
      <c r="F557" t="s">
        <v>34</v>
      </c>
      <c r="G557">
        <v>1</v>
      </c>
      <c r="H557">
        <v>302.01249999999902</v>
      </c>
      <c r="I557" t="s">
        <v>49</v>
      </c>
      <c r="J557" s="1">
        <v>44559</v>
      </c>
      <c r="K557">
        <v>59.882204769670302</v>
      </c>
      <c r="L557" s="1">
        <v>44577</v>
      </c>
      <c r="M557" s="1">
        <v>44577</v>
      </c>
      <c r="N557">
        <v>598.82204769670398</v>
      </c>
      <c r="O557">
        <v>0</v>
      </c>
      <c r="P557" t="str">
        <f>IF(Table1[[#This Row],[Delivery Delay]]&gt;0,"Late","On Time")</f>
        <v>On Time</v>
      </c>
      <c r="Q557">
        <v>59.882204769670395</v>
      </c>
      <c r="R557">
        <v>0.23730761297673111</v>
      </c>
      <c r="S557">
        <v>1.6699451929774098E-3</v>
      </c>
      <c r="T557">
        <v>0.69</v>
      </c>
      <c r="U557">
        <v>0</v>
      </c>
      <c r="V557">
        <v>25.496250615323945</v>
      </c>
    </row>
    <row r="558" spans="1:22" x14ac:dyDescent="0.35">
      <c r="A558" t="s">
        <v>102</v>
      </c>
      <c r="B558" t="s">
        <v>13</v>
      </c>
      <c r="C558" t="s">
        <v>7</v>
      </c>
      <c r="D558">
        <v>0.99</v>
      </c>
      <c r="E558" t="s">
        <v>38</v>
      </c>
      <c r="F558" t="s">
        <v>39</v>
      </c>
      <c r="G558">
        <v>0</v>
      </c>
      <c r="H558">
        <v>375.13249999999999</v>
      </c>
      <c r="I558" t="s">
        <v>45</v>
      </c>
      <c r="J558" s="1">
        <v>44599</v>
      </c>
      <c r="K558">
        <v>30.577884722266099</v>
      </c>
      <c r="L558" s="1">
        <v>44609</v>
      </c>
      <c r="M558" s="1">
        <v>44609</v>
      </c>
      <c r="N558">
        <v>336.35673194492699</v>
      </c>
      <c r="O558">
        <v>0</v>
      </c>
      <c r="P558" t="str">
        <f>IF(Table1[[#This Row],[Delivery Delay]]&gt;0,"Late","On Time")</f>
        <v>On Time</v>
      </c>
      <c r="Q558">
        <v>30.577884722266091</v>
      </c>
      <c r="R558">
        <v>0.30015822753159049</v>
      </c>
      <c r="S558">
        <v>2.9730339994019622E-3</v>
      </c>
      <c r="T558">
        <v>0.99</v>
      </c>
      <c r="U558">
        <v>1</v>
      </c>
      <c r="V558">
        <v>55.792355570613871</v>
      </c>
    </row>
    <row r="559" spans="1:22" x14ac:dyDescent="0.35">
      <c r="A559" t="s">
        <v>99</v>
      </c>
      <c r="B559" t="s">
        <v>6</v>
      </c>
      <c r="C559" t="s">
        <v>11</v>
      </c>
      <c r="D559">
        <v>0.97</v>
      </c>
      <c r="E559" t="s">
        <v>38</v>
      </c>
      <c r="F559" t="s">
        <v>34</v>
      </c>
      <c r="G559">
        <v>1</v>
      </c>
      <c r="H559">
        <v>258.75200000000001</v>
      </c>
      <c r="I559" t="s">
        <v>50</v>
      </c>
      <c r="J559" s="1">
        <v>44514</v>
      </c>
      <c r="K559">
        <v>27.112482216577899</v>
      </c>
      <c r="L559" s="1">
        <v>44538</v>
      </c>
      <c r="M559" s="1">
        <v>44538</v>
      </c>
      <c r="N559">
        <v>216.89985773262299</v>
      </c>
      <c r="O559">
        <v>0</v>
      </c>
      <c r="P559" t="str">
        <f>IF(Table1[[#This Row],[Delivery Delay]]&gt;0,"Late","On Time")</f>
        <v>On Time</v>
      </c>
      <c r="Q559">
        <v>27.112482216577874</v>
      </c>
      <c r="R559">
        <v>0.20356990005286879</v>
      </c>
      <c r="S559">
        <v>4.6104225722117392E-3</v>
      </c>
      <c r="T559">
        <v>0.97</v>
      </c>
      <c r="U559">
        <v>0</v>
      </c>
      <c r="V559">
        <v>33.309710678223723</v>
      </c>
    </row>
    <row r="560" spans="1:22" x14ac:dyDescent="0.35">
      <c r="A560" t="s">
        <v>103</v>
      </c>
      <c r="B560" t="s">
        <v>8</v>
      </c>
      <c r="C560" t="s">
        <v>9</v>
      </c>
      <c r="D560">
        <v>0.62</v>
      </c>
      <c r="E560" t="s">
        <v>36</v>
      </c>
      <c r="F560" t="s">
        <v>39</v>
      </c>
      <c r="G560">
        <v>0</v>
      </c>
      <c r="H560">
        <v>128.64439999999999</v>
      </c>
      <c r="I560" t="s">
        <v>48</v>
      </c>
      <c r="J560" s="1">
        <v>44226</v>
      </c>
      <c r="K560">
        <v>44.785595352356502</v>
      </c>
      <c r="L560" s="1">
        <v>44247</v>
      </c>
      <c r="M560" s="1">
        <v>44249</v>
      </c>
      <c r="N560">
        <v>582.212739580635</v>
      </c>
      <c r="O560">
        <v>2</v>
      </c>
      <c r="P560" t="str">
        <f>IF(Table1[[#This Row],[Delivery Delay]]&gt;0,"Late","On Time")</f>
        <v>Late</v>
      </c>
      <c r="Q560">
        <v>44.785595352356538</v>
      </c>
      <c r="R560">
        <v>0.14994841037275544</v>
      </c>
      <c r="S560">
        <v>1.7175852261843241E-3</v>
      </c>
      <c r="T560">
        <v>0.62</v>
      </c>
      <c r="U560">
        <v>1</v>
      </c>
      <c r="V560">
        <v>41.650495764240638</v>
      </c>
    </row>
    <row r="561" spans="1:22" x14ac:dyDescent="0.35">
      <c r="A561" t="s">
        <v>104</v>
      </c>
      <c r="B561" t="s">
        <v>13</v>
      </c>
      <c r="C561" t="s">
        <v>9</v>
      </c>
      <c r="D561">
        <v>0.88</v>
      </c>
      <c r="E561" t="s">
        <v>38</v>
      </c>
      <c r="F561" t="s">
        <v>34</v>
      </c>
      <c r="G561">
        <v>1</v>
      </c>
      <c r="H561">
        <v>575.59849999999994</v>
      </c>
      <c r="I561" t="s">
        <v>49</v>
      </c>
      <c r="J561" s="1">
        <v>44656</v>
      </c>
      <c r="K561">
        <v>9.5084978042195001</v>
      </c>
      <c r="L561" s="1">
        <v>44678</v>
      </c>
      <c r="M561" s="1">
        <v>44678</v>
      </c>
      <c r="N561">
        <v>180.66145828017</v>
      </c>
      <c r="O561">
        <v>0</v>
      </c>
      <c r="P561" t="str">
        <f>IF(Table1[[#This Row],[Delivery Delay]]&gt;0,"Late","On Time")</f>
        <v>On Time</v>
      </c>
      <c r="Q561">
        <v>9.5084978042194734</v>
      </c>
      <c r="R561">
        <v>0.47263555360128939</v>
      </c>
      <c r="S561">
        <v>5.5352149236457442E-3</v>
      </c>
      <c r="T561">
        <v>0.88</v>
      </c>
      <c r="U561">
        <v>0</v>
      </c>
      <c r="V561">
        <v>36.018767519735164</v>
      </c>
    </row>
    <row r="562" spans="1:22" x14ac:dyDescent="0.35">
      <c r="A562" t="s">
        <v>105</v>
      </c>
      <c r="B562" t="s">
        <v>8</v>
      </c>
      <c r="C562" t="s">
        <v>7</v>
      </c>
      <c r="D562">
        <v>0.96</v>
      </c>
      <c r="E562" t="s">
        <v>35</v>
      </c>
      <c r="F562" t="s">
        <v>34</v>
      </c>
      <c r="G562">
        <v>1</v>
      </c>
      <c r="H562">
        <v>14.2338</v>
      </c>
      <c r="I562" t="s">
        <v>51</v>
      </c>
      <c r="J562" s="1">
        <v>44920</v>
      </c>
      <c r="K562">
        <v>47.869275157980198</v>
      </c>
      <c r="L562" s="1">
        <v>44932</v>
      </c>
      <c r="M562" s="1">
        <v>44929</v>
      </c>
      <c r="N562">
        <v>478.69275157980201</v>
      </c>
      <c r="O562">
        <v>-3</v>
      </c>
      <c r="P562" t="str">
        <f>IF(Table1[[#This Row],[Delivery Delay]]&gt;0,"Late","On Time")</f>
        <v>On Time</v>
      </c>
      <c r="Q562">
        <v>47.869275157980198</v>
      </c>
      <c r="R562">
        <v>2.4314498812614473E-2</v>
      </c>
      <c r="S562">
        <v>2.0890226490786791E-3</v>
      </c>
      <c r="T562">
        <v>0.96</v>
      </c>
      <c r="U562">
        <v>0</v>
      </c>
      <c r="V562">
        <v>29.34896065572465</v>
      </c>
    </row>
    <row r="563" spans="1:22" x14ac:dyDescent="0.35">
      <c r="A563" t="s">
        <v>106</v>
      </c>
      <c r="B563" t="s">
        <v>15</v>
      </c>
      <c r="C563" t="s">
        <v>9</v>
      </c>
      <c r="D563">
        <v>0.67</v>
      </c>
      <c r="E563" t="s">
        <v>38</v>
      </c>
      <c r="F563" t="s">
        <v>34</v>
      </c>
      <c r="G563">
        <v>1</v>
      </c>
      <c r="H563">
        <v>-2.14319999999997</v>
      </c>
      <c r="I563" t="s">
        <v>45</v>
      </c>
      <c r="J563" s="1">
        <v>44239</v>
      </c>
      <c r="K563">
        <v>29.829906984975</v>
      </c>
      <c r="L563" s="1">
        <v>44259</v>
      </c>
      <c r="M563" s="1">
        <v>44259</v>
      </c>
      <c r="N563">
        <v>268.469162864775</v>
      </c>
      <c r="O563">
        <v>0</v>
      </c>
      <c r="P563" t="str">
        <f>IF(Table1[[#This Row],[Delivery Delay]]&gt;0,"Late","On Time")</f>
        <v>On Time</v>
      </c>
      <c r="Q563">
        <v>29.829906984975</v>
      </c>
      <c r="R563">
        <v>0</v>
      </c>
      <c r="S563">
        <v>3.7248225804752447E-3</v>
      </c>
      <c r="T563">
        <v>0.67</v>
      </c>
      <c r="U563">
        <v>0</v>
      </c>
      <c r="V563">
        <v>20.211744677414259</v>
      </c>
    </row>
    <row r="564" spans="1:22" x14ac:dyDescent="0.35">
      <c r="A564" t="s">
        <v>108</v>
      </c>
      <c r="B564" t="s">
        <v>12</v>
      </c>
      <c r="C564" t="s">
        <v>9</v>
      </c>
      <c r="D564">
        <v>0.82</v>
      </c>
      <c r="E564" t="s">
        <v>36</v>
      </c>
      <c r="F564" t="s">
        <v>34</v>
      </c>
      <c r="G564">
        <v>1</v>
      </c>
      <c r="H564">
        <v>249.66560000000001</v>
      </c>
      <c r="I564" t="s">
        <v>46</v>
      </c>
      <c r="J564" s="1">
        <v>44386</v>
      </c>
      <c r="K564">
        <v>55.189000412151501</v>
      </c>
      <c r="L564" s="1">
        <v>44403</v>
      </c>
      <c r="M564" s="1">
        <v>44409</v>
      </c>
      <c r="N564">
        <v>772.64600577012095</v>
      </c>
      <c r="O564">
        <v>6</v>
      </c>
      <c r="P564" t="str">
        <f>IF(Table1[[#This Row],[Delivery Delay]]&gt;0,"Late","On Time")</f>
        <v>Late</v>
      </c>
      <c r="Q564">
        <v>55.189000412151493</v>
      </c>
      <c r="R564">
        <v>0.32665677184623532</v>
      </c>
      <c r="S564">
        <v>1.2942537624371306E-3</v>
      </c>
      <c r="T564">
        <v>0.82</v>
      </c>
      <c r="U564">
        <v>0</v>
      </c>
      <c r="V564">
        <v>31.171963049797817</v>
      </c>
    </row>
    <row r="565" spans="1:22" x14ac:dyDescent="0.35">
      <c r="A565" t="s">
        <v>107</v>
      </c>
      <c r="B565" t="s">
        <v>15</v>
      </c>
      <c r="C565" t="s">
        <v>9</v>
      </c>
      <c r="D565">
        <v>0.96</v>
      </c>
      <c r="E565" t="s">
        <v>38</v>
      </c>
      <c r="F565" t="s">
        <v>34</v>
      </c>
      <c r="G565">
        <v>1</v>
      </c>
      <c r="H565">
        <v>179.0916</v>
      </c>
      <c r="I565" t="s">
        <v>50</v>
      </c>
      <c r="J565" s="1">
        <v>44855</v>
      </c>
      <c r="K565">
        <v>16.9338477456368</v>
      </c>
      <c r="L565" s="1">
        <v>44868</v>
      </c>
      <c r="M565" s="1">
        <v>44870</v>
      </c>
      <c r="N565">
        <v>135.47078196509401</v>
      </c>
      <c r="O565">
        <v>2</v>
      </c>
      <c r="P565" t="str">
        <f>IF(Table1[[#This Row],[Delivery Delay]]&gt;0,"Late","On Time")</f>
        <v>Late</v>
      </c>
      <c r="Q565">
        <v>16.933847745636751</v>
      </c>
      <c r="R565">
        <v>0.29584235273595155</v>
      </c>
      <c r="S565">
        <v>7.3816655185297772E-3</v>
      </c>
      <c r="T565">
        <v>0.96</v>
      </c>
      <c r="U565">
        <v>0</v>
      </c>
      <c r="V565">
        <v>34.938297020274923</v>
      </c>
    </row>
    <row r="566" spans="1:22" x14ac:dyDescent="0.35">
      <c r="A566" t="s">
        <v>100</v>
      </c>
      <c r="B566" t="s">
        <v>15</v>
      </c>
      <c r="C566" t="s">
        <v>11</v>
      </c>
      <c r="D566">
        <v>0.61</v>
      </c>
      <c r="E566" t="s">
        <v>37</v>
      </c>
      <c r="F566" t="s">
        <v>34</v>
      </c>
      <c r="G566">
        <v>1</v>
      </c>
      <c r="H566">
        <v>187.52670000000001</v>
      </c>
      <c r="I566" t="s">
        <v>50</v>
      </c>
      <c r="J566" s="1">
        <v>45108</v>
      </c>
      <c r="K566">
        <v>45.502324026506002</v>
      </c>
      <c r="L566" s="1">
        <v>45118</v>
      </c>
      <c r="M566" s="1">
        <v>45115</v>
      </c>
      <c r="N566">
        <v>591.53021234457799</v>
      </c>
      <c r="O566">
        <v>-3</v>
      </c>
      <c r="P566" t="str">
        <f>IF(Table1[[#This Row],[Delivery Delay]]&gt;0,"Late","On Time")</f>
        <v>On Time</v>
      </c>
      <c r="Q566">
        <v>45.502324026506002</v>
      </c>
      <c r="R566">
        <v>0.36804819155093443</v>
      </c>
      <c r="S566">
        <v>1.6905307271397327E-3</v>
      </c>
      <c r="T566">
        <v>0.61</v>
      </c>
      <c r="U566">
        <v>0</v>
      </c>
      <c r="V566">
        <v>25.711679752832882</v>
      </c>
    </row>
    <row r="567" spans="1:22" x14ac:dyDescent="0.35">
      <c r="A567" t="s">
        <v>101</v>
      </c>
      <c r="B567" t="s">
        <v>8</v>
      </c>
      <c r="C567" t="s">
        <v>5</v>
      </c>
      <c r="D567">
        <v>0.87</v>
      </c>
      <c r="E567" t="s">
        <v>37</v>
      </c>
      <c r="F567" t="s">
        <v>34</v>
      </c>
      <c r="G567">
        <v>1</v>
      </c>
      <c r="H567">
        <v>153.27199999999999</v>
      </c>
      <c r="I567" t="s">
        <v>48</v>
      </c>
      <c r="J567" s="1">
        <v>44212</v>
      </c>
      <c r="K567">
        <v>27.684592653332601</v>
      </c>
      <c r="L567" s="1">
        <v>44235</v>
      </c>
      <c r="M567" s="1">
        <v>44232</v>
      </c>
      <c r="N567">
        <v>276.84592653332601</v>
      </c>
      <c r="O567">
        <v>-3</v>
      </c>
      <c r="P567" t="str">
        <f>IF(Table1[[#This Row],[Delivery Delay]]&gt;0,"Late","On Time")</f>
        <v>On Time</v>
      </c>
      <c r="Q567">
        <v>27.684592653332601</v>
      </c>
      <c r="R567">
        <v>0.70414201183431946</v>
      </c>
      <c r="S567">
        <v>3.6121174420806314E-3</v>
      </c>
      <c r="T567">
        <v>0.87</v>
      </c>
      <c r="U567">
        <v>0</v>
      </c>
      <c r="V567">
        <v>40.291203759948807</v>
      </c>
    </row>
    <row r="568" spans="1:22" x14ac:dyDescent="0.35">
      <c r="A568" t="s">
        <v>102</v>
      </c>
      <c r="B568" t="s">
        <v>13</v>
      </c>
      <c r="C568" t="s">
        <v>7</v>
      </c>
      <c r="D568">
        <v>0.72</v>
      </c>
      <c r="E568" t="s">
        <v>35</v>
      </c>
      <c r="F568" t="s">
        <v>34</v>
      </c>
      <c r="G568">
        <v>1</v>
      </c>
      <c r="H568">
        <v>453.87630000000001</v>
      </c>
      <c r="I568" t="s">
        <v>50</v>
      </c>
      <c r="J568" s="1">
        <v>44299</v>
      </c>
      <c r="K568">
        <v>77.612308245394502</v>
      </c>
      <c r="L568" s="1">
        <v>44314</v>
      </c>
      <c r="M568" s="1">
        <v>44312</v>
      </c>
      <c r="N568">
        <v>1164.1846236809099</v>
      </c>
      <c r="O568">
        <v>-2</v>
      </c>
      <c r="P568" t="str">
        <f>IF(Table1[[#This Row],[Delivery Delay]]&gt;0,"Late","On Time")</f>
        <v>On Time</v>
      </c>
      <c r="Q568">
        <v>77.61230824539399</v>
      </c>
      <c r="R568">
        <v>0.42039351220858162</v>
      </c>
      <c r="S568">
        <v>8.5897028672154052E-4</v>
      </c>
      <c r="T568">
        <v>0.72</v>
      </c>
      <c r="U568">
        <v>0</v>
      </c>
      <c r="V568">
        <v>30.033639352773278</v>
      </c>
    </row>
    <row r="569" spans="1:22" x14ac:dyDescent="0.35">
      <c r="A569" t="s">
        <v>99</v>
      </c>
      <c r="B569" t="s">
        <v>13</v>
      </c>
      <c r="C569" t="s">
        <v>7</v>
      </c>
      <c r="D569">
        <v>0.96</v>
      </c>
      <c r="E569" t="s">
        <v>37</v>
      </c>
      <c r="F569" t="s">
        <v>34</v>
      </c>
      <c r="G569">
        <v>1</v>
      </c>
      <c r="H569">
        <v>223.80179999999999</v>
      </c>
      <c r="I569" t="s">
        <v>49</v>
      </c>
      <c r="J569" s="1">
        <v>44315</v>
      </c>
      <c r="K569">
        <v>33.034861637563999</v>
      </c>
      <c r="L569" s="1">
        <v>44338</v>
      </c>
      <c r="M569" s="1">
        <v>44337</v>
      </c>
      <c r="N569">
        <v>528.55778620102399</v>
      </c>
      <c r="O569">
        <v>-1</v>
      </c>
      <c r="P569" t="str">
        <f>IF(Table1[[#This Row],[Delivery Delay]]&gt;0,"Late","On Time")</f>
        <v>On Time</v>
      </c>
      <c r="Q569">
        <v>33.034861637563999</v>
      </c>
      <c r="R569">
        <v>0.63317110929667642</v>
      </c>
      <c r="S569">
        <v>1.8919407226737448E-3</v>
      </c>
      <c r="T569">
        <v>0.96</v>
      </c>
      <c r="U569">
        <v>0</v>
      </c>
      <c r="V569">
        <v>41.520180407613736</v>
      </c>
    </row>
    <row r="570" spans="1:22" x14ac:dyDescent="0.35">
      <c r="A570" t="s">
        <v>103</v>
      </c>
      <c r="B570" t="s">
        <v>6</v>
      </c>
      <c r="C570" t="s">
        <v>9</v>
      </c>
      <c r="D570">
        <v>0.98</v>
      </c>
      <c r="E570" t="s">
        <v>38</v>
      </c>
      <c r="F570" t="s">
        <v>39</v>
      </c>
      <c r="G570">
        <v>0</v>
      </c>
      <c r="H570">
        <v>222.3588</v>
      </c>
      <c r="I570" t="s">
        <v>51</v>
      </c>
      <c r="J570" s="1">
        <v>44908</v>
      </c>
      <c r="K570">
        <v>66.597404322223795</v>
      </c>
      <c r="L570" s="1">
        <v>44932</v>
      </c>
      <c r="M570" s="1">
        <v>44931</v>
      </c>
      <c r="N570">
        <v>532.77923457779002</v>
      </c>
      <c r="O570">
        <v>-1</v>
      </c>
      <c r="P570" t="str">
        <f>IF(Table1[[#This Row],[Delivery Delay]]&gt;0,"Late","On Time")</f>
        <v>On Time</v>
      </c>
      <c r="Q570">
        <v>66.597404322223753</v>
      </c>
      <c r="R570">
        <v>0.22802316914947596</v>
      </c>
      <c r="S570">
        <v>1.8769500293915678E-3</v>
      </c>
      <c r="T570">
        <v>0.98</v>
      </c>
      <c r="U570">
        <v>1</v>
      </c>
      <c r="V570">
        <v>54.016771883871264</v>
      </c>
    </row>
    <row r="571" spans="1:22" x14ac:dyDescent="0.35">
      <c r="A571" t="s">
        <v>104</v>
      </c>
      <c r="B571" t="s">
        <v>4</v>
      </c>
      <c r="C571" t="s">
        <v>9</v>
      </c>
      <c r="D571">
        <v>0.97</v>
      </c>
      <c r="E571" t="s">
        <v>35</v>
      </c>
      <c r="F571" t="s">
        <v>34</v>
      </c>
      <c r="G571">
        <v>1</v>
      </c>
      <c r="H571">
        <v>178.02420000000001</v>
      </c>
      <c r="I571" t="s">
        <v>50</v>
      </c>
      <c r="J571" s="1">
        <v>45270</v>
      </c>
      <c r="K571">
        <v>10.186341348098701</v>
      </c>
      <c r="L571" s="1">
        <v>45280</v>
      </c>
      <c r="M571" s="1">
        <v>45285</v>
      </c>
      <c r="N571">
        <v>122.236096177184</v>
      </c>
      <c r="O571">
        <v>5</v>
      </c>
      <c r="P571" t="str">
        <f>IF(Table1[[#This Row],[Delivery Delay]]&gt;0,"Late","On Time")</f>
        <v>Late</v>
      </c>
      <c r="Q571">
        <v>10.186341348098667</v>
      </c>
      <c r="R571">
        <v>0.43194639157848153</v>
      </c>
      <c r="S571">
        <v>8.1808895348758296E-3</v>
      </c>
      <c r="T571">
        <v>0.97</v>
      </c>
      <c r="U571">
        <v>0</v>
      </c>
      <c r="V571">
        <v>37.984354517615905</v>
      </c>
    </row>
    <row r="572" spans="1:22" x14ac:dyDescent="0.35">
      <c r="A572" t="s">
        <v>105</v>
      </c>
      <c r="B572" t="s">
        <v>12</v>
      </c>
      <c r="C572" t="s">
        <v>7</v>
      </c>
      <c r="D572">
        <v>0.78</v>
      </c>
      <c r="E572" t="s">
        <v>38</v>
      </c>
      <c r="F572" t="s">
        <v>34</v>
      </c>
      <c r="G572">
        <v>1</v>
      </c>
      <c r="H572">
        <v>451.04569999999899</v>
      </c>
      <c r="I572" t="s">
        <v>50</v>
      </c>
      <c r="J572" s="1">
        <v>44241</v>
      </c>
      <c r="K572">
        <v>9.0687558119335101</v>
      </c>
      <c r="L572" s="1">
        <v>44259</v>
      </c>
      <c r="M572" s="1">
        <v>44263</v>
      </c>
      <c r="N572">
        <v>63.481290683534503</v>
      </c>
      <c r="O572">
        <v>4</v>
      </c>
      <c r="P572" t="str">
        <f>IF(Table1[[#This Row],[Delivery Delay]]&gt;0,"Late","On Time")</f>
        <v>Late</v>
      </c>
      <c r="Q572">
        <v>9.0687558119335012</v>
      </c>
      <c r="R572">
        <v>0.44369120764936543</v>
      </c>
      <c r="S572">
        <v>1.5752672783311501E-2</v>
      </c>
      <c r="T572">
        <v>0.78</v>
      </c>
      <c r="U572">
        <v>0</v>
      </c>
      <c r="V572">
        <v>32.746404336486648</v>
      </c>
    </row>
    <row r="573" spans="1:22" x14ac:dyDescent="0.35">
      <c r="A573" t="s">
        <v>106</v>
      </c>
      <c r="B573" t="s">
        <v>8</v>
      </c>
      <c r="C573" t="s">
        <v>9</v>
      </c>
      <c r="D573">
        <v>0.94</v>
      </c>
      <c r="E573" t="s">
        <v>35</v>
      </c>
      <c r="F573" t="s">
        <v>34</v>
      </c>
      <c r="G573">
        <v>1</v>
      </c>
      <c r="H573">
        <v>962.33619999999905</v>
      </c>
      <c r="I573" t="s">
        <v>46</v>
      </c>
      <c r="J573" s="1">
        <v>45009</v>
      </c>
      <c r="K573">
        <v>64.006494395555194</v>
      </c>
      <c r="L573" s="1">
        <v>45024</v>
      </c>
      <c r="M573" s="1">
        <v>45025</v>
      </c>
      <c r="N573">
        <v>1024.1039103288799</v>
      </c>
      <c r="O573">
        <v>1</v>
      </c>
      <c r="P573" t="str">
        <f>IF(Table1[[#This Row],[Delivery Delay]]&gt;0,"Late","On Time")</f>
        <v>Late</v>
      </c>
      <c r="Q573">
        <v>64.006494395554995</v>
      </c>
      <c r="R573">
        <v>0.7280959407170815</v>
      </c>
      <c r="S573">
        <v>9.7646341344293939E-4</v>
      </c>
      <c r="T573">
        <v>0.94</v>
      </c>
      <c r="U573">
        <v>0</v>
      </c>
      <c r="V573">
        <v>42.791212716744923</v>
      </c>
    </row>
    <row r="574" spans="1:22" x14ac:dyDescent="0.35">
      <c r="A574" t="s">
        <v>108</v>
      </c>
      <c r="B574" t="s">
        <v>6</v>
      </c>
      <c r="C574" t="s">
        <v>11</v>
      </c>
      <c r="D574">
        <v>0.93</v>
      </c>
      <c r="E574" t="s">
        <v>35</v>
      </c>
      <c r="F574" t="s">
        <v>34</v>
      </c>
      <c r="G574">
        <v>1</v>
      </c>
      <c r="H574">
        <v>633.76079999999899</v>
      </c>
      <c r="I574" t="s">
        <v>46</v>
      </c>
      <c r="J574" s="1">
        <v>45192</v>
      </c>
      <c r="K574">
        <v>76.866063156785501</v>
      </c>
      <c r="L574" s="1">
        <v>45213</v>
      </c>
      <c r="M574" s="1">
        <v>45217</v>
      </c>
      <c r="N574">
        <v>922.39275788142595</v>
      </c>
      <c r="O574">
        <v>4</v>
      </c>
      <c r="P574" t="str">
        <f>IF(Table1[[#This Row],[Delivery Delay]]&gt;0,"Late","On Time")</f>
        <v>Late</v>
      </c>
      <c r="Q574">
        <v>76.866063156785501</v>
      </c>
      <c r="R574">
        <v>0.46105750931484246</v>
      </c>
      <c r="S574">
        <v>1.0841368727751335E-3</v>
      </c>
      <c r="T574">
        <v>0.93</v>
      </c>
      <c r="U574">
        <v>0</v>
      </c>
      <c r="V574">
        <v>37.153674292480105</v>
      </c>
    </row>
    <row r="575" spans="1:22" x14ac:dyDescent="0.35">
      <c r="A575" t="s">
        <v>102</v>
      </c>
      <c r="B575" t="s">
        <v>10</v>
      </c>
      <c r="C575" t="s">
        <v>7</v>
      </c>
      <c r="D575">
        <v>0.72</v>
      </c>
      <c r="E575" t="s">
        <v>37</v>
      </c>
      <c r="F575" t="s">
        <v>34</v>
      </c>
      <c r="G575">
        <v>1</v>
      </c>
      <c r="H575">
        <v>305.32400000000001</v>
      </c>
      <c r="I575" t="s">
        <v>47</v>
      </c>
      <c r="J575" s="1">
        <v>45179</v>
      </c>
      <c r="K575">
        <v>33.344575294958901</v>
      </c>
      <c r="L575" s="1">
        <v>45200</v>
      </c>
      <c r="M575" s="1">
        <v>45203</v>
      </c>
      <c r="N575">
        <v>366.79032824454799</v>
      </c>
      <c r="O575">
        <v>3</v>
      </c>
      <c r="P575" t="str">
        <f>IF(Table1[[#This Row],[Delivery Delay]]&gt;0,"Late","On Time")</f>
        <v>Late</v>
      </c>
      <c r="Q575">
        <v>33.344575294958908</v>
      </c>
      <c r="R575">
        <v>0.35524518484561485</v>
      </c>
      <c r="S575">
        <v>2.7263532405174973E-3</v>
      </c>
      <c r="T575">
        <v>0.72</v>
      </c>
      <c r="U575">
        <v>0</v>
      </c>
      <c r="V575">
        <v>28.786694294127823</v>
      </c>
    </row>
    <row r="576" spans="1:22" x14ac:dyDescent="0.35">
      <c r="A576" t="s">
        <v>99</v>
      </c>
      <c r="B576" t="s">
        <v>4</v>
      </c>
      <c r="C576" t="s">
        <v>9</v>
      </c>
      <c r="D576">
        <v>0.92</v>
      </c>
      <c r="E576" t="s">
        <v>35</v>
      </c>
      <c r="F576" t="s">
        <v>34</v>
      </c>
      <c r="G576">
        <v>1</v>
      </c>
      <c r="H576">
        <v>357.16079999999903</v>
      </c>
      <c r="I576" t="s">
        <v>45</v>
      </c>
      <c r="J576" s="1">
        <v>45199</v>
      </c>
      <c r="K576">
        <v>74.103666154328394</v>
      </c>
      <c r="L576" s="1">
        <v>45216</v>
      </c>
      <c r="M576" s="1">
        <v>45222</v>
      </c>
      <c r="N576">
        <v>963.34766000626905</v>
      </c>
      <c r="O576">
        <v>6</v>
      </c>
      <c r="P576" t="str">
        <f>IF(Table1[[#This Row],[Delivery Delay]]&gt;0,"Late","On Time")</f>
        <v>Late</v>
      </c>
      <c r="Q576">
        <v>74.103666154328394</v>
      </c>
      <c r="R576">
        <v>0.32457927292079164</v>
      </c>
      <c r="S576">
        <v>1.0380468459263111E-3</v>
      </c>
      <c r="T576">
        <v>0.92</v>
      </c>
      <c r="U576">
        <v>0</v>
      </c>
      <c r="V576">
        <v>34.122726863793623</v>
      </c>
    </row>
    <row r="577" spans="1:22" x14ac:dyDescent="0.35">
      <c r="A577" t="s">
        <v>103</v>
      </c>
      <c r="B577" t="s">
        <v>4</v>
      </c>
      <c r="C577" t="s">
        <v>7</v>
      </c>
      <c r="D577">
        <v>0.61</v>
      </c>
      <c r="E577" t="s">
        <v>36</v>
      </c>
      <c r="F577" t="s">
        <v>34</v>
      </c>
      <c r="G577">
        <v>1</v>
      </c>
      <c r="H577">
        <v>271.25040000000001</v>
      </c>
      <c r="I577" t="s">
        <v>49</v>
      </c>
      <c r="J577" s="1">
        <v>44632</v>
      </c>
      <c r="K577">
        <v>21.432313406955199</v>
      </c>
      <c r="L577" s="1">
        <v>44649</v>
      </c>
      <c r="M577" s="1">
        <v>44651</v>
      </c>
      <c r="N577">
        <v>171.45850725564199</v>
      </c>
      <c r="O577">
        <v>2</v>
      </c>
      <c r="P577" t="str">
        <f>IF(Table1[[#This Row],[Delivery Delay]]&gt;0,"Late","On Time")</f>
        <v>Late</v>
      </c>
      <c r="Q577">
        <v>21.432313406955249</v>
      </c>
      <c r="R577">
        <v>0.32452027300579145</v>
      </c>
      <c r="S577">
        <v>5.8323148615134941E-3</v>
      </c>
      <c r="T577">
        <v>0.61</v>
      </c>
      <c r="U577">
        <v>0</v>
      </c>
      <c r="V577">
        <v>24.965374905961234</v>
      </c>
    </row>
    <row r="578" spans="1:22" x14ac:dyDescent="0.35">
      <c r="A578" t="s">
        <v>104</v>
      </c>
      <c r="B578" t="s">
        <v>8</v>
      </c>
      <c r="C578" t="s">
        <v>5</v>
      </c>
      <c r="D578">
        <v>0.83</v>
      </c>
      <c r="E578" t="s">
        <v>35</v>
      </c>
      <c r="F578" t="s">
        <v>34</v>
      </c>
      <c r="G578">
        <v>1</v>
      </c>
      <c r="H578">
        <v>-69.692000000000405</v>
      </c>
      <c r="I578" t="s">
        <v>50</v>
      </c>
      <c r="J578" s="1">
        <v>44492</v>
      </c>
      <c r="K578">
        <v>76.950438303983404</v>
      </c>
      <c r="L578" s="1">
        <v>44504</v>
      </c>
      <c r="M578" s="1">
        <v>44510</v>
      </c>
      <c r="N578">
        <v>1154.2565745597501</v>
      </c>
      <c r="O578">
        <v>6</v>
      </c>
      <c r="P578" t="str">
        <f>IF(Table1[[#This Row],[Delivery Delay]]&gt;0,"Late","On Time")</f>
        <v>Late</v>
      </c>
      <c r="Q578">
        <v>76.950438303983347</v>
      </c>
      <c r="R578">
        <v>0</v>
      </c>
      <c r="S578">
        <v>8.6635850472102725E-4</v>
      </c>
      <c r="T578">
        <v>0.83</v>
      </c>
      <c r="U578">
        <v>0</v>
      </c>
      <c r="V578">
        <v>24.925990755141626</v>
      </c>
    </row>
    <row r="579" spans="1:22" x14ac:dyDescent="0.35">
      <c r="A579" t="s">
        <v>105</v>
      </c>
      <c r="B579" t="s">
        <v>14</v>
      </c>
      <c r="C579" t="s">
        <v>9</v>
      </c>
      <c r="D579">
        <v>0.69</v>
      </c>
      <c r="E579" t="s">
        <v>35</v>
      </c>
      <c r="F579" t="s">
        <v>34</v>
      </c>
      <c r="G579">
        <v>1</v>
      </c>
      <c r="H579">
        <v>246.52080000000001</v>
      </c>
      <c r="I579" t="s">
        <v>50</v>
      </c>
      <c r="J579" s="1">
        <v>44751</v>
      </c>
      <c r="K579">
        <v>55.252846683942103</v>
      </c>
      <c r="L579" s="1">
        <v>44763</v>
      </c>
      <c r="M579" s="1">
        <v>44769</v>
      </c>
      <c r="N579">
        <v>663.03416020730594</v>
      </c>
      <c r="O579">
        <v>6</v>
      </c>
      <c r="P579" t="str">
        <f>IF(Table1[[#This Row],[Delivery Delay]]&gt;0,"Late","On Time")</f>
        <v>Late</v>
      </c>
      <c r="Q579">
        <v>55.25284668394216</v>
      </c>
      <c r="R579">
        <v>0.50946596765153729</v>
      </c>
      <c r="S579">
        <v>1.5082179169883757E-3</v>
      </c>
      <c r="T579">
        <v>0.69</v>
      </c>
      <c r="U579">
        <v>0</v>
      </c>
      <c r="V579">
        <v>30.934565890540398</v>
      </c>
    </row>
    <row r="580" spans="1:22" x14ac:dyDescent="0.35">
      <c r="A580" t="s">
        <v>106</v>
      </c>
      <c r="B580" t="s">
        <v>12</v>
      </c>
      <c r="C580" t="s">
        <v>7</v>
      </c>
      <c r="D580">
        <v>0.65</v>
      </c>
      <c r="E580" t="s">
        <v>37</v>
      </c>
      <c r="F580" t="s">
        <v>34</v>
      </c>
      <c r="G580">
        <v>1</v>
      </c>
      <c r="H580">
        <v>16.324000000000002</v>
      </c>
      <c r="I580" t="s">
        <v>51</v>
      </c>
      <c r="J580" s="1">
        <v>44561</v>
      </c>
      <c r="K580">
        <v>72.897932431633294</v>
      </c>
      <c r="L580" s="1">
        <v>44585</v>
      </c>
      <c r="M580" s="1">
        <v>44587</v>
      </c>
      <c r="N580">
        <v>801.87725674796695</v>
      </c>
      <c r="O580">
        <v>2</v>
      </c>
      <c r="P580" t="str">
        <f>IF(Table1[[#This Row],[Delivery Delay]]&gt;0,"Late","On Time")</f>
        <v>Late</v>
      </c>
      <c r="Q580">
        <v>72.897932431633365</v>
      </c>
      <c r="R580">
        <v>6.1785589922938339E-2</v>
      </c>
      <c r="S580">
        <v>1.2470736532116209E-3</v>
      </c>
      <c r="T580">
        <v>0.65</v>
      </c>
      <c r="U580">
        <v>0</v>
      </c>
      <c r="V580">
        <v>20.773124008055117</v>
      </c>
    </row>
    <row r="581" spans="1:22" x14ac:dyDescent="0.35">
      <c r="A581" t="s">
        <v>108</v>
      </c>
      <c r="B581" t="s">
        <v>4</v>
      </c>
      <c r="C581" t="s">
        <v>9</v>
      </c>
      <c r="D581">
        <v>0.63</v>
      </c>
      <c r="E581" t="s">
        <v>36</v>
      </c>
      <c r="F581" t="s">
        <v>34</v>
      </c>
      <c r="G581">
        <v>1</v>
      </c>
      <c r="H581">
        <v>62.3292</v>
      </c>
      <c r="I581" t="s">
        <v>47</v>
      </c>
      <c r="J581" s="1">
        <v>45087</v>
      </c>
      <c r="K581">
        <v>68.248321922616796</v>
      </c>
      <c r="L581" s="1">
        <v>45107</v>
      </c>
      <c r="M581" s="1">
        <v>45107</v>
      </c>
      <c r="N581">
        <v>1023.72482883925</v>
      </c>
      <c r="O581">
        <v>0</v>
      </c>
      <c r="P581" t="str">
        <f>IF(Table1[[#This Row],[Delivery Delay]]&gt;0,"Late","On Time")</f>
        <v>On Time</v>
      </c>
      <c r="Q581">
        <v>68.248321922616668</v>
      </c>
      <c r="R581">
        <v>0.13256759481480285</v>
      </c>
      <c r="S581">
        <v>9.768249942065483E-4</v>
      </c>
      <c r="T581">
        <v>0.63</v>
      </c>
      <c r="U581">
        <v>0</v>
      </c>
      <c r="V581">
        <v>21.580656646122254</v>
      </c>
    </row>
    <row r="582" spans="1:22" x14ac:dyDescent="0.35">
      <c r="A582" t="s">
        <v>107</v>
      </c>
      <c r="B582" t="s">
        <v>8</v>
      </c>
      <c r="C582" t="s">
        <v>9</v>
      </c>
      <c r="D582">
        <v>0.87</v>
      </c>
      <c r="E582" t="s">
        <v>36</v>
      </c>
      <c r="F582" t="s">
        <v>39</v>
      </c>
      <c r="G582">
        <v>0</v>
      </c>
      <c r="H582">
        <v>-7.0404000000000302</v>
      </c>
      <c r="I582" t="s">
        <v>45</v>
      </c>
      <c r="J582" s="1">
        <v>44987</v>
      </c>
      <c r="K582">
        <v>12.426858633641</v>
      </c>
      <c r="L582" s="1">
        <v>45007</v>
      </c>
      <c r="M582" s="1">
        <v>45005</v>
      </c>
      <c r="N582">
        <v>124.26858633641</v>
      </c>
      <c r="O582">
        <v>-2</v>
      </c>
      <c r="P582" t="str">
        <f>IF(Table1[[#This Row],[Delivery Delay]]&gt;0,"Late","On Time")</f>
        <v>On Time</v>
      </c>
      <c r="Q582">
        <v>12.426858633641</v>
      </c>
      <c r="R582">
        <v>0</v>
      </c>
      <c r="S582">
        <v>8.0470859891564207E-3</v>
      </c>
      <c r="T582">
        <v>0.87</v>
      </c>
      <c r="U582">
        <v>1</v>
      </c>
      <c r="V582">
        <v>46.341412579674696</v>
      </c>
    </row>
    <row r="583" spans="1:22" x14ac:dyDescent="0.35">
      <c r="A583" t="s">
        <v>100</v>
      </c>
      <c r="B583" t="s">
        <v>8</v>
      </c>
      <c r="C583" t="s">
        <v>9</v>
      </c>
      <c r="D583">
        <v>0.73</v>
      </c>
      <c r="E583" t="s">
        <v>37</v>
      </c>
      <c r="F583" t="s">
        <v>39</v>
      </c>
      <c r="G583">
        <v>0</v>
      </c>
      <c r="H583">
        <v>61.752800000000001</v>
      </c>
      <c r="I583" t="s">
        <v>47</v>
      </c>
      <c r="J583" s="1">
        <v>44460</v>
      </c>
      <c r="K583">
        <v>13.029709030700401</v>
      </c>
      <c r="L583" s="1">
        <v>44479</v>
      </c>
      <c r="M583" s="1">
        <v>44477</v>
      </c>
      <c r="N583">
        <v>143.32679933770399</v>
      </c>
      <c r="O583">
        <v>-2</v>
      </c>
      <c r="P583" t="str">
        <f>IF(Table1[[#This Row],[Delivery Delay]]&gt;0,"Late","On Time")</f>
        <v>On Time</v>
      </c>
      <c r="Q583">
        <v>13.029709030700362</v>
      </c>
      <c r="R583">
        <v>0.2632788864596799</v>
      </c>
      <c r="S583">
        <v>6.9770622425176622E-3</v>
      </c>
      <c r="T583">
        <v>0.73</v>
      </c>
      <c r="U583">
        <v>1</v>
      </c>
      <c r="V583">
        <v>47.374889596469124</v>
      </c>
    </row>
    <row r="584" spans="1:22" x14ac:dyDescent="0.35">
      <c r="A584" t="s">
        <v>101</v>
      </c>
      <c r="B584" t="s">
        <v>6</v>
      </c>
      <c r="C584" t="s">
        <v>7</v>
      </c>
      <c r="D584">
        <v>0.88</v>
      </c>
      <c r="E584" t="s">
        <v>38</v>
      </c>
      <c r="F584" t="s">
        <v>39</v>
      </c>
      <c r="G584">
        <v>0</v>
      </c>
      <c r="H584">
        <v>256.98599999999999</v>
      </c>
      <c r="I584" t="s">
        <v>48</v>
      </c>
      <c r="J584" s="1">
        <v>44643</v>
      </c>
      <c r="K584">
        <v>36.818308194581597</v>
      </c>
      <c r="L584" s="1">
        <v>44667</v>
      </c>
      <c r="M584" s="1">
        <v>44671</v>
      </c>
      <c r="N584">
        <v>405.00139014039701</v>
      </c>
      <c r="O584">
        <v>4</v>
      </c>
      <c r="P584" t="str">
        <f>IF(Table1[[#This Row],[Delivery Delay]]&gt;0,"Late","On Time")</f>
        <v>Late</v>
      </c>
      <c r="Q584">
        <v>36.818308194581547</v>
      </c>
      <c r="R584">
        <v>0.1624010374010374</v>
      </c>
      <c r="S584">
        <v>2.469127327324338E-3</v>
      </c>
      <c r="T584">
        <v>0.88</v>
      </c>
      <c r="U584">
        <v>1</v>
      </c>
      <c r="V584">
        <v>49.722094567840479</v>
      </c>
    </row>
    <row r="585" spans="1:22" x14ac:dyDescent="0.35">
      <c r="A585" t="s">
        <v>102</v>
      </c>
      <c r="B585" t="s">
        <v>10</v>
      </c>
      <c r="C585" t="s">
        <v>5</v>
      </c>
      <c r="D585">
        <v>0.63</v>
      </c>
      <c r="E585" t="s">
        <v>38</v>
      </c>
      <c r="F585" t="s">
        <v>34</v>
      </c>
      <c r="G585">
        <v>1</v>
      </c>
      <c r="H585">
        <v>20.959199999999999</v>
      </c>
      <c r="I585" t="s">
        <v>45</v>
      </c>
      <c r="J585" s="1">
        <v>44743</v>
      </c>
      <c r="K585">
        <v>7.8558742183302899</v>
      </c>
      <c r="L585" s="1">
        <v>44758</v>
      </c>
      <c r="M585" s="1">
        <v>44761</v>
      </c>
      <c r="N585">
        <v>86.414616401633197</v>
      </c>
      <c r="O585">
        <v>3</v>
      </c>
      <c r="P585" t="str">
        <f>IF(Table1[[#This Row],[Delivery Delay]]&gt;0,"Late","On Time")</f>
        <v>Late</v>
      </c>
      <c r="Q585">
        <v>7.8558742183302908</v>
      </c>
      <c r="R585">
        <v>6.3509032201762808E-2</v>
      </c>
      <c r="S585">
        <v>1.1572116403922385E-2</v>
      </c>
      <c r="T585">
        <v>0.63</v>
      </c>
      <c r="U585">
        <v>0</v>
      </c>
      <c r="V585">
        <v>20.517344136152929</v>
      </c>
    </row>
    <row r="586" spans="1:22" x14ac:dyDescent="0.35">
      <c r="A586" t="s">
        <v>99</v>
      </c>
      <c r="B586" t="s">
        <v>14</v>
      </c>
      <c r="C586" t="s">
        <v>9</v>
      </c>
      <c r="D586">
        <v>0.72</v>
      </c>
      <c r="E586" t="s">
        <v>38</v>
      </c>
      <c r="F586" t="s">
        <v>34</v>
      </c>
      <c r="G586">
        <v>1</v>
      </c>
      <c r="H586">
        <v>675.56639999999902</v>
      </c>
      <c r="I586" t="s">
        <v>50</v>
      </c>
      <c r="J586" s="1">
        <v>44275</v>
      </c>
      <c r="K586">
        <v>37.755997190417702</v>
      </c>
      <c r="L586" s="1">
        <v>44291</v>
      </c>
      <c r="M586" s="1">
        <v>44294</v>
      </c>
      <c r="N586">
        <v>453.07196628501299</v>
      </c>
      <c r="O586">
        <v>3</v>
      </c>
      <c r="P586" t="str">
        <f>IF(Table1[[#This Row],[Delivery Delay]]&gt;0,"Late","On Time")</f>
        <v>Late</v>
      </c>
      <c r="Q586">
        <v>37.755997190417752</v>
      </c>
      <c r="R586">
        <v>0.69483672376212835</v>
      </c>
      <c r="S586">
        <v>2.2071548769603904E-3</v>
      </c>
      <c r="T586">
        <v>0.72</v>
      </c>
      <c r="U586">
        <v>0</v>
      </c>
      <c r="V586">
        <v>35.562949121551377</v>
      </c>
    </row>
    <row r="587" spans="1:22" x14ac:dyDescent="0.35">
      <c r="A587" t="s">
        <v>103</v>
      </c>
      <c r="B587" t="s">
        <v>12</v>
      </c>
      <c r="C587" t="s">
        <v>7</v>
      </c>
      <c r="D587">
        <v>0.81</v>
      </c>
      <c r="E587" t="s">
        <v>35</v>
      </c>
      <c r="F587" t="s">
        <v>34</v>
      </c>
      <c r="G587">
        <v>1</v>
      </c>
      <c r="H587">
        <v>169.233599999999</v>
      </c>
      <c r="I587" t="s">
        <v>50</v>
      </c>
      <c r="J587" s="1">
        <v>45347</v>
      </c>
      <c r="K587">
        <v>31.1159658719465</v>
      </c>
      <c r="L587" s="1">
        <v>45369</v>
      </c>
      <c r="M587" s="1">
        <v>45368</v>
      </c>
      <c r="N587">
        <v>373.391590463358</v>
      </c>
      <c r="O587">
        <v>-1</v>
      </c>
      <c r="P587" t="str">
        <f>IF(Table1[[#This Row],[Delivery Delay]]&gt;0,"Late","On Time")</f>
        <v>On Time</v>
      </c>
      <c r="Q587">
        <v>31.1159658719465</v>
      </c>
      <c r="R587">
        <v>0.63035471644138941</v>
      </c>
      <c r="S587">
        <v>2.6781535137389038E-3</v>
      </c>
      <c r="T587">
        <v>0.81</v>
      </c>
      <c r="U587">
        <v>0</v>
      </c>
      <c r="V587">
        <v>36.987438934239961</v>
      </c>
    </row>
    <row r="588" spans="1:22" x14ac:dyDescent="0.35">
      <c r="A588" t="s">
        <v>104</v>
      </c>
      <c r="B588" t="s">
        <v>13</v>
      </c>
      <c r="C588" t="s">
        <v>9</v>
      </c>
      <c r="D588">
        <v>0.91</v>
      </c>
      <c r="E588" t="s">
        <v>37</v>
      </c>
      <c r="F588" t="s">
        <v>34</v>
      </c>
      <c r="G588">
        <v>1</v>
      </c>
      <c r="H588">
        <v>56.192</v>
      </c>
      <c r="I588" t="s">
        <v>45</v>
      </c>
      <c r="J588" s="1">
        <v>44576</v>
      </c>
      <c r="K588">
        <v>13.863059640127901</v>
      </c>
      <c r="L588" s="1">
        <v>44594</v>
      </c>
      <c r="M588" s="1">
        <v>44591</v>
      </c>
      <c r="N588">
        <v>110.90447712102301</v>
      </c>
      <c r="O588">
        <v>-3</v>
      </c>
      <c r="P588" t="str">
        <f>IF(Table1[[#This Row],[Delivery Delay]]&gt;0,"Late","On Time")</f>
        <v>On Time</v>
      </c>
      <c r="Q588">
        <v>13.863059640127876</v>
      </c>
      <c r="R588">
        <v>0.11010655599578323</v>
      </c>
      <c r="S588">
        <v>9.0167685377458978E-3</v>
      </c>
      <c r="T588">
        <v>0.91</v>
      </c>
      <c r="U588">
        <v>0</v>
      </c>
      <c r="V588">
        <v>29.77263417604804</v>
      </c>
    </row>
    <row r="589" spans="1:22" x14ac:dyDescent="0.35">
      <c r="A589" t="s">
        <v>105</v>
      </c>
      <c r="B589" t="s">
        <v>15</v>
      </c>
      <c r="C589" t="s">
        <v>11</v>
      </c>
      <c r="D589">
        <v>0.72</v>
      </c>
      <c r="E589" t="s">
        <v>36</v>
      </c>
      <c r="F589" t="s">
        <v>34</v>
      </c>
      <c r="G589">
        <v>1</v>
      </c>
      <c r="H589">
        <v>318.7928</v>
      </c>
      <c r="I589" t="s">
        <v>50</v>
      </c>
      <c r="J589" s="1">
        <v>45234</v>
      </c>
      <c r="K589">
        <v>66.712904690513994</v>
      </c>
      <c r="L589" s="1">
        <v>45245</v>
      </c>
      <c r="M589" s="1">
        <v>45246</v>
      </c>
      <c r="N589">
        <v>800.55485628616702</v>
      </c>
      <c r="O589">
        <v>1</v>
      </c>
      <c r="P589" t="str">
        <f>IF(Table1[[#This Row],[Delivery Delay]]&gt;0,"Late","On Time")</f>
        <v>Late</v>
      </c>
      <c r="Q589">
        <v>66.712904690513923</v>
      </c>
      <c r="R589">
        <v>0.32912984692845126</v>
      </c>
      <c r="S589">
        <v>1.2491336379359106E-3</v>
      </c>
      <c r="T589">
        <v>0.72</v>
      </c>
      <c r="U589">
        <v>0</v>
      </c>
      <c r="V589">
        <v>28.220070947707104</v>
      </c>
    </row>
    <row r="590" spans="1:22" x14ac:dyDescent="0.35">
      <c r="A590" t="s">
        <v>106</v>
      </c>
      <c r="B590" t="s">
        <v>10</v>
      </c>
      <c r="C590" t="s">
        <v>9</v>
      </c>
      <c r="D590">
        <v>0.84</v>
      </c>
      <c r="E590" t="s">
        <v>35</v>
      </c>
      <c r="F590" t="s">
        <v>34</v>
      </c>
      <c r="G590">
        <v>1</v>
      </c>
      <c r="H590">
        <v>375.39839999999998</v>
      </c>
      <c r="I590" t="s">
        <v>49</v>
      </c>
      <c r="J590" s="1">
        <v>45274</v>
      </c>
      <c r="K590">
        <v>60.269750339739197</v>
      </c>
      <c r="L590" s="1">
        <v>45298</v>
      </c>
      <c r="M590" s="1">
        <v>45304</v>
      </c>
      <c r="N590">
        <v>1084.8555061152999</v>
      </c>
      <c r="O590">
        <v>6</v>
      </c>
      <c r="P590" t="str">
        <f>IF(Table1[[#This Row],[Delivery Delay]]&gt;0,"Late","On Time")</f>
        <v>Late</v>
      </c>
      <c r="Q590">
        <v>60.269750339738884</v>
      </c>
      <c r="R590">
        <v>0.40403720343930333</v>
      </c>
      <c r="S590">
        <v>9.2178174361749396E-4</v>
      </c>
      <c r="T590">
        <v>0.84</v>
      </c>
      <c r="U590">
        <v>0</v>
      </c>
      <c r="V590">
        <v>33.308397521094591</v>
      </c>
    </row>
    <row r="591" spans="1:22" x14ac:dyDescent="0.35">
      <c r="A591" t="s">
        <v>108</v>
      </c>
      <c r="B591" t="s">
        <v>10</v>
      </c>
      <c r="C591" t="s">
        <v>11</v>
      </c>
      <c r="D591">
        <v>0.95</v>
      </c>
      <c r="E591" t="s">
        <v>38</v>
      </c>
      <c r="F591" t="s">
        <v>39</v>
      </c>
      <c r="G591">
        <v>0</v>
      </c>
      <c r="H591">
        <v>165.95160000000001</v>
      </c>
      <c r="I591" t="s">
        <v>45</v>
      </c>
      <c r="J591" s="1">
        <v>45315</v>
      </c>
      <c r="K591">
        <v>55.838172931035999</v>
      </c>
      <c r="L591" s="1">
        <v>45335</v>
      </c>
      <c r="M591" s="1">
        <v>45340</v>
      </c>
      <c r="N591">
        <v>502.543556379324</v>
      </c>
      <c r="O591">
        <v>5</v>
      </c>
      <c r="P591" t="str">
        <f>IF(Table1[[#This Row],[Delivery Delay]]&gt;0,"Late","On Time")</f>
        <v>Late</v>
      </c>
      <c r="Q591">
        <v>55.838172931035999</v>
      </c>
      <c r="R591">
        <v>0.20067388045732165</v>
      </c>
      <c r="S591">
        <v>1.9898772699518839E-3</v>
      </c>
      <c r="T591">
        <v>0.95</v>
      </c>
      <c r="U591">
        <v>1</v>
      </c>
      <c r="V591">
        <v>52.573173927244987</v>
      </c>
    </row>
    <row r="592" spans="1:22" x14ac:dyDescent="0.35">
      <c r="A592" t="s">
        <v>103</v>
      </c>
      <c r="B592" t="s">
        <v>6</v>
      </c>
      <c r="C592" t="s">
        <v>7</v>
      </c>
      <c r="D592">
        <v>0.84</v>
      </c>
      <c r="E592" t="s">
        <v>37</v>
      </c>
      <c r="F592" t="s">
        <v>34</v>
      </c>
      <c r="G592">
        <v>1</v>
      </c>
      <c r="H592">
        <v>458.40839999999997</v>
      </c>
      <c r="I592" t="s">
        <v>47</v>
      </c>
      <c r="J592" s="1">
        <v>44762</v>
      </c>
      <c r="K592">
        <v>27.682277550725999</v>
      </c>
      <c r="L592" s="1">
        <v>44774</v>
      </c>
      <c r="M592" s="1">
        <v>44780</v>
      </c>
      <c r="N592">
        <v>359.86960815943797</v>
      </c>
      <c r="O592">
        <v>6</v>
      </c>
      <c r="P592" t="str">
        <f>IF(Table1[[#This Row],[Delivery Delay]]&gt;0,"Late","On Time")</f>
        <v>Late</v>
      </c>
      <c r="Q592">
        <v>27.682277550725999</v>
      </c>
      <c r="R592">
        <v>0.3272269225728473</v>
      </c>
      <c r="S592">
        <v>2.7787842522032486E-3</v>
      </c>
      <c r="T592">
        <v>0.84</v>
      </c>
      <c r="U592">
        <v>0</v>
      </c>
      <c r="V592">
        <v>31.827901979023043</v>
      </c>
    </row>
    <row r="593" spans="1:22" x14ac:dyDescent="0.35">
      <c r="A593" t="s">
        <v>104</v>
      </c>
      <c r="B593" t="s">
        <v>13</v>
      </c>
      <c r="C593" t="s">
        <v>5</v>
      </c>
      <c r="D593">
        <v>0.69</v>
      </c>
      <c r="E593" t="s">
        <v>37</v>
      </c>
      <c r="F593" t="s">
        <v>34</v>
      </c>
      <c r="G593">
        <v>1</v>
      </c>
      <c r="H593">
        <v>483.88200000000001</v>
      </c>
      <c r="I593" t="s">
        <v>45</v>
      </c>
      <c r="J593" s="1">
        <v>44622</v>
      </c>
      <c r="K593">
        <v>52.088794943255998</v>
      </c>
      <c r="L593" s="1">
        <v>44635</v>
      </c>
      <c r="M593" s="1">
        <v>44641</v>
      </c>
      <c r="N593">
        <v>468.79915448930399</v>
      </c>
      <c r="O593">
        <v>6</v>
      </c>
      <c r="P593" t="str">
        <f>IF(Table1[[#This Row],[Delivery Delay]]&gt;0,"Late","On Time")</f>
        <v>Late</v>
      </c>
      <c r="Q593">
        <v>52.088794943255998</v>
      </c>
      <c r="R593">
        <v>0.39174638436777443</v>
      </c>
      <c r="S593">
        <v>2.1331096492470652E-3</v>
      </c>
      <c r="T593">
        <v>0.69</v>
      </c>
      <c r="U593">
        <v>0</v>
      </c>
      <c r="V593">
        <v>28.598920976832897</v>
      </c>
    </row>
    <row r="594" spans="1:22" x14ac:dyDescent="0.35">
      <c r="A594" t="s">
        <v>105</v>
      </c>
      <c r="B594" t="s">
        <v>4</v>
      </c>
      <c r="C594" t="s">
        <v>9</v>
      </c>
      <c r="D594">
        <v>0.61</v>
      </c>
      <c r="E594" t="s">
        <v>35</v>
      </c>
      <c r="F594" t="s">
        <v>39</v>
      </c>
      <c r="G594">
        <v>0</v>
      </c>
      <c r="H594">
        <v>98.3416</v>
      </c>
      <c r="I594" t="s">
        <v>50</v>
      </c>
      <c r="J594" s="1">
        <v>44412</v>
      </c>
      <c r="K594">
        <v>13.9910411486869</v>
      </c>
      <c r="L594" s="1">
        <v>44429</v>
      </c>
      <c r="M594" s="1">
        <v>44428</v>
      </c>
      <c r="N594">
        <v>153.90145263555601</v>
      </c>
      <c r="O594">
        <v>-1</v>
      </c>
      <c r="P594" t="str">
        <f>IF(Table1[[#This Row],[Delivery Delay]]&gt;0,"Late","On Time")</f>
        <v>On Time</v>
      </c>
      <c r="Q594">
        <v>13.991041148686911</v>
      </c>
      <c r="R594">
        <v>0.65499235388459953</v>
      </c>
      <c r="S594">
        <v>6.497664465637207E-3</v>
      </c>
      <c r="T594">
        <v>0.61</v>
      </c>
      <c r="U594">
        <v>1</v>
      </c>
      <c r="V594">
        <v>51.594777011661108</v>
      </c>
    </row>
    <row r="595" spans="1:22" x14ac:dyDescent="0.35">
      <c r="A595" t="s">
        <v>106</v>
      </c>
      <c r="B595" t="s">
        <v>4</v>
      </c>
      <c r="C595" t="s">
        <v>9</v>
      </c>
      <c r="D595">
        <v>0.94</v>
      </c>
      <c r="E595" t="s">
        <v>35</v>
      </c>
      <c r="F595" t="s">
        <v>34</v>
      </c>
      <c r="G595">
        <v>1</v>
      </c>
      <c r="H595">
        <v>129.4572</v>
      </c>
      <c r="I595" t="s">
        <v>49</v>
      </c>
      <c r="J595" s="1">
        <v>45084</v>
      </c>
      <c r="K595">
        <v>68.125441736821799</v>
      </c>
      <c r="L595" s="1">
        <v>45097</v>
      </c>
      <c r="M595" s="1">
        <v>45094</v>
      </c>
      <c r="N595">
        <v>817.50530084186096</v>
      </c>
      <c r="O595">
        <v>-3</v>
      </c>
      <c r="P595" t="str">
        <f>IF(Table1[[#This Row],[Delivery Delay]]&gt;0,"Late","On Time")</f>
        <v>On Time</v>
      </c>
      <c r="Q595">
        <v>68.125441736821742</v>
      </c>
      <c r="R595">
        <v>0.26455622012796082</v>
      </c>
      <c r="S595">
        <v>1.2232336585098682E-3</v>
      </c>
      <c r="T595">
        <v>0.94</v>
      </c>
      <c r="U595">
        <v>0</v>
      </c>
      <c r="V595">
        <v>33.527821412314509</v>
      </c>
    </row>
    <row r="596" spans="1:22" x14ac:dyDescent="0.35">
      <c r="A596" t="s">
        <v>108</v>
      </c>
      <c r="B596" t="s">
        <v>6</v>
      </c>
      <c r="C596" t="s">
        <v>9</v>
      </c>
      <c r="D596">
        <v>0.61</v>
      </c>
      <c r="E596" t="s">
        <v>35</v>
      </c>
      <c r="F596" t="s">
        <v>39</v>
      </c>
      <c r="G596">
        <v>0</v>
      </c>
      <c r="H596">
        <v>1.07970000000011</v>
      </c>
      <c r="I596" t="s">
        <v>49</v>
      </c>
      <c r="J596" s="1">
        <v>45252</v>
      </c>
      <c r="K596">
        <v>16.590298336726701</v>
      </c>
      <c r="L596" s="1">
        <v>45268</v>
      </c>
      <c r="M596" s="1">
        <v>45266</v>
      </c>
      <c r="N596">
        <v>298.62537006108101</v>
      </c>
      <c r="O596">
        <v>-2</v>
      </c>
      <c r="P596" t="str">
        <f>IF(Table1[[#This Row],[Delivery Delay]]&gt;0,"Late","On Time")</f>
        <v>On Time</v>
      </c>
      <c r="Q596">
        <v>16.590298336726722</v>
      </c>
      <c r="R596">
        <v>1.8217259676687255E-3</v>
      </c>
      <c r="S596">
        <v>3.3486773069396594E-3</v>
      </c>
      <c r="T596">
        <v>0.61</v>
      </c>
      <c r="U596">
        <v>1</v>
      </c>
      <c r="V596">
        <v>38.436894838561564</v>
      </c>
    </row>
    <row r="597" spans="1:22" x14ac:dyDescent="0.35">
      <c r="A597" t="s">
        <v>107</v>
      </c>
      <c r="B597" t="s">
        <v>8</v>
      </c>
      <c r="C597" t="s">
        <v>7</v>
      </c>
      <c r="D597">
        <v>0.94</v>
      </c>
      <c r="E597" t="s">
        <v>36</v>
      </c>
      <c r="F597" t="s">
        <v>34</v>
      </c>
      <c r="G597">
        <v>1</v>
      </c>
      <c r="H597">
        <v>7.1258999999999997</v>
      </c>
      <c r="I597" t="s">
        <v>48</v>
      </c>
      <c r="J597" s="1">
        <v>44355</v>
      </c>
      <c r="K597">
        <v>37.701849422149998</v>
      </c>
      <c r="L597" s="1">
        <v>44372</v>
      </c>
      <c r="M597" s="1">
        <v>44375</v>
      </c>
      <c r="N597">
        <v>527.82589191010004</v>
      </c>
      <c r="O597">
        <v>3</v>
      </c>
      <c r="P597" t="str">
        <f>IF(Table1[[#This Row],[Delivery Delay]]&gt;0,"Late","On Time")</f>
        <v>Late</v>
      </c>
      <c r="Q597">
        <v>37.701849422150005</v>
      </c>
      <c r="R597">
        <v>2.2766024538195605E-2</v>
      </c>
      <c r="S597">
        <v>1.8945641267827786E-3</v>
      </c>
      <c r="T597">
        <v>0.94</v>
      </c>
      <c r="U597">
        <v>0</v>
      </c>
      <c r="V597">
        <v>28.71215741456739</v>
      </c>
    </row>
    <row r="598" spans="1:22" x14ac:dyDescent="0.35">
      <c r="A598" t="s">
        <v>100</v>
      </c>
      <c r="B598" t="s">
        <v>4</v>
      </c>
      <c r="C598" t="s">
        <v>9</v>
      </c>
      <c r="D598">
        <v>0.81</v>
      </c>
      <c r="E598" t="s">
        <v>36</v>
      </c>
      <c r="F598" t="s">
        <v>39</v>
      </c>
      <c r="G598">
        <v>0</v>
      </c>
      <c r="H598">
        <v>104.09699999999999</v>
      </c>
      <c r="I598" t="s">
        <v>47</v>
      </c>
      <c r="J598" s="1">
        <v>44974</v>
      </c>
      <c r="K598">
        <v>18.617803210227699</v>
      </c>
      <c r="L598" s="1">
        <v>44986</v>
      </c>
      <c r="M598" s="1">
        <v>44986</v>
      </c>
      <c r="N598">
        <v>130.32462247159401</v>
      </c>
      <c r="O598">
        <v>0</v>
      </c>
      <c r="P598" t="str">
        <f>IF(Table1[[#This Row],[Delivery Delay]]&gt;0,"Late","On Time")</f>
        <v>On Time</v>
      </c>
      <c r="Q598">
        <v>18.617803210227716</v>
      </c>
      <c r="R598">
        <v>0.35014480469025916</v>
      </c>
      <c r="S598">
        <v>7.6731471078534171E-3</v>
      </c>
      <c r="T598">
        <v>0.81</v>
      </c>
      <c r="U598">
        <v>1</v>
      </c>
      <c r="V598">
        <v>51.533090507040782</v>
      </c>
    </row>
    <row r="599" spans="1:22" x14ac:dyDescent="0.35">
      <c r="A599" t="s">
        <v>101</v>
      </c>
      <c r="B599" t="s">
        <v>14</v>
      </c>
      <c r="C599" t="s">
        <v>9</v>
      </c>
      <c r="D599">
        <v>0.97</v>
      </c>
      <c r="E599" t="s">
        <v>36</v>
      </c>
      <c r="F599" t="s">
        <v>34</v>
      </c>
      <c r="G599">
        <v>1</v>
      </c>
      <c r="H599">
        <v>713.68799999999999</v>
      </c>
      <c r="I599" t="s">
        <v>46</v>
      </c>
      <c r="J599" s="1">
        <v>45202</v>
      </c>
      <c r="K599">
        <v>68.034730014945794</v>
      </c>
      <c r="L599" s="1">
        <v>45221</v>
      </c>
      <c r="M599" s="1">
        <v>45221</v>
      </c>
      <c r="N599">
        <v>816.41676017934901</v>
      </c>
      <c r="O599">
        <v>0</v>
      </c>
      <c r="P599" t="str">
        <f>IF(Table1[[#This Row],[Delivery Delay]]&gt;0,"Late","On Time")</f>
        <v>On Time</v>
      </c>
      <c r="Q599">
        <v>68.034730014945751</v>
      </c>
      <c r="R599">
        <v>0.47080523099331878</v>
      </c>
      <c r="S599">
        <v>1.2248646142202198E-3</v>
      </c>
      <c r="T599">
        <v>0.97</v>
      </c>
      <c r="U599">
        <v>0</v>
      </c>
      <c r="V599">
        <v>38.552850558292981</v>
      </c>
    </row>
    <row r="600" spans="1:22" x14ac:dyDescent="0.35">
      <c r="A600" t="s">
        <v>102</v>
      </c>
      <c r="B600" t="s">
        <v>12</v>
      </c>
      <c r="C600" t="s">
        <v>7</v>
      </c>
      <c r="D600">
        <v>0.91</v>
      </c>
      <c r="E600" t="s">
        <v>37</v>
      </c>
      <c r="F600" t="s">
        <v>39</v>
      </c>
      <c r="G600">
        <v>0</v>
      </c>
      <c r="H600">
        <v>548.34799999999996</v>
      </c>
      <c r="I600" t="s">
        <v>46</v>
      </c>
      <c r="J600" s="1">
        <v>45334</v>
      </c>
      <c r="K600">
        <v>45.930931092778799</v>
      </c>
      <c r="L600" s="1">
        <v>45345</v>
      </c>
      <c r="M600" s="1">
        <v>45350</v>
      </c>
      <c r="N600">
        <v>275.58558655667298</v>
      </c>
      <c r="O600">
        <v>5</v>
      </c>
      <c r="P600" t="str">
        <f>IF(Table1[[#This Row],[Delivery Delay]]&gt;0,"Late","On Time")</f>
        <v>Late</v>
      </c>
      <c r="Q600">
        <v>45.930931092778827</v>
      </c>
      <c r="R600">
        <v>0.65930350555723882</v>
      </c>
      <c r="S600">
        <v>3.628636796628529E-3</v>
      </c>
      <c r="T600">
        <v>0.91</v>
      </c>
      <c r="U600">
        <v>1</v>
      </c>
      <c r="V600">
        <v>60.594929215043635</v>
      </c>
    </row>
    <row r="601" spans="1:22" x14ac:dyDescent="0.35">
      <c r="A601" t="s">
        <v>99</v>
      </c>
      <c r="B601" t="s">
        <v>10</v>
      </c>
      <c r="C601" t="s">
        <v>9</v>
      </c>
      <c r="D601">
        <v>0.99</v>
      </c>
      <c r="E601" t="s">
        <v>37</v>
      </c>
      <c r="F601" t="s">
        <v>34</v>
      </c>
      <c r="G601">
        <v>1</v>
      </c>
      <c r="H601">
        <v>334.72979999999899</v>
      </c>
      <c r="I601" t="s">
        <v>45</v>
      </c>
      <c r="J601" s="1">
        <v>44619</v>
      </c>
      <c r="K601">
        <v>70.517949976877702</v>
      </c>
      <c r="L601" s="1">
        <v>44631</v>
      </c>
      <c r="M601" s="1">
        <v>44636</v>
      </c>
      <c r="N601">
        <v>564.14359981502105</v>
      </c>
      <c r="O601">
        <v>5</v>
      </c>
      <c r="P601" t="str">
        <f>IF(Table1[[#This Row],[Delivery Delay]]&gt;0,"Late","On Time")</f>
        <v>Late</v>
      </c>
      <c r="Q601">
        <v>70.517949976877631</v>
      </c>
      <c r="R601">
        <v>0.94832419090811715</v>
      </c>
      <c r="S601">
        <v>1.7725983248376715E-3</v>
      </c>
      <c r="T601">
        <v>0.99</v>
      </c>
      <c r="U601">
        <v>0</v>
      </c>
      <c r="V601">
        <v>48.719661767907475</v>
      </c>
    </row>
    <row r="602" spans="1:22" x14ac:dyDescent="0.35">
      <c r="A602" t="s">
        <v>103</v>
      </c>
      <c r="B602" t="s">
        <v>4</v>
      </c>
      <c r="C602" t="s">
        <v>5</v>
      </c>
      <c r="D602">
        <v>0.75</v>
      </c>
      <c r="E602" t="s">
        <v>38</v>
      </c>
      <c r="F602" t="s">
        <v>34</v>
      </c>
      <c r="G602">
        <v>1</v>
      </c>
      <c r="H602">
        <v>33.922800000000002</v>
      </c>
      <c r="I602" t="s">
        <v>50</v>
      </c>
      <c r="J602" s="1">
        <v>45084</v>
      </c>
      <c r="K602">
        <v>10.4243532815614</v>
      </c>
      <c r="L602" s="1">
        <v>45103</v>
      </c>
      <c r="M602" s="1">
        <v>45108</v>
      </c>
      <c r="N602">
        <v>114.667886097175</v>
      </c>
      <c r="O602">
        <v>5</v>
      </c>
      <c r="P602" t="str">
        <f>IF(Table1[[#This Row],[Delivery Delay]]&gt;0,"Late","On Time")</f>
        <v>Late</v>
      </c>
      <c r="Q602">
        <v>10.424353281561364</v>
      </c>
      <c r="R602">
        <v>2.9064823944422224E-2</v>
      </c>
      <c r="S602">
        <v>8.7208374902154606E-3</v>
      </c>
      <c r="T602">
        <v>0.75</v>
      </c>
      <c r="U602">
        <v>0</v>
      </c>
      <c r="V602">
        <v>23.342921603594906</v>
      </c>
    </row>
    <row r="603" spans="1:22" x14ac:dyDescent="0.35">
      <c r="A603" t="s">
        <v>104</v>
      </c>
      <c r="B603" t="s">
        <v>6</v>
      </c>
      <c r="C603" t="s">
        <v>7</v>
      </c>
      <c r="D603">
        <v>0.8</v>
      </c>
      <c r="E603" t="s">
        <v>37</v>
      </c>
      <c r="F603" t="s">
        <v>34</v>
      </c>
      <c r="G603">
        <v>1</v>
      </c>
      <c r="H603">
        <v>846.64719999999897</v>
      </c>
      <c r="I603" t="s">
        <v>47</v>
      </c>
      <c r="J603" s="1">
        <v>44364</v>
      </c>
      <c r="K603">
        <v>14.196997479849299</v>
      </c>
      <c r="L603" s="1">
        <v>44383</v>
      </c>
      <c r="M603" s="1">
        <v>44384</v>
      </c>
      <c r="N603">
        <v>198.75796471789101</v>
      </c>
      <c r="O603">
        <v>1</v>
      </c>
      <c r="P603" t="str">
        <f>IF(Table1[[#This Row],[Delivery Delay]]&gt;0,"Late","On Time")</f>
        <v>Late</v>
      </c>
      <c r="Q603">
        <v>14.196997479849358</v>
      </c>
      <c r="R603">
        <v>0.80767895206398554</v>
      </c>
      <c r="S603">
        <v>5.0312449185085963E-3</v>
      </c>
      <c r="T603">
        <v>0.8</v>
      </c>
      <c r="U603">
        <v>0</v>
      </c>
      <c r="V603">
        <v>40.304516388834969</v>
      </c>
    </row>
    <row r="604" spans="1:22" x14ac:dyDescent="0.35">
      <c r="A604" t="s">
        <v>105</v>
      </c>
      <c r="B604" t="s">
        <v>8</v>
      </c>
      <c r="C604" t="s">
        <v>9</v>
      </c>
      <c r="D604">
        <v>0.62</v>
      </c>
      <c r="E604" t="s">
        <v>37</v>
      </c>
      <c r="F604" t="s">
        <v>34</v>
      </c>
      <c r="G604">
        <v>1</v>
      </c>
      <c r="H604">
        <v>159.63659999999899</v>
      </c>
      <c r="I604" t="s">
        <v>45</v>
      </c>
      <c r="J604" s="1">
        <v>44938</v>
      </c>
      <c r="K604">
        <v>9.0133120549460592</v>
      </c>
      <c r="L604" s="1">
        <v>44961</v>
      </c>
      <c r="M604" s="1">
        <v>44958</v>
      </c>
      <c r="N604">
        <v>81.119808494514501</v>
      </c>
      <c r="O604">
        <v>-3</v>
      </c>
      <c r="P604" t="str">
        <f>IF(Table1[[#This Row],[Delivery Delay]]&gt;0,"Late","On Time")</f>
        <v>On Time</v>
      </c>
      <c r="Q604">
        <v>9.0133120549460557</v>
      </c>
      <c r="R604">
        <v>0.1568052306718512</v>
      </c>
      <c r="S604">
        <v>1.232744527580612E-2</v>
      </c>
      <c r="T604">
        <v>0.62</v>
      </c>
      <c r="U604">
        <v>0</v>
      </c>
      <c r="V604">
        <v>22.10592797171121</v>
      </c>
    </row>
    <row r="605" spans="1:22" x14ac:dyDescent="0.35">
      <c r="A605" t="s">
        <v>106</v>
      </c>
      <c r="B605" t="s">
        <v>4</v>
      </c>
      <c r="C605" t="s">
        <v>9</v>
      </c>
      <c r="D605">
        <v>0.66</v>
      </c>
      <c r="E605" t="s">
        <v>37</v>
      </c>
      <c r="F605" t="s">
        <v>34</v>
      </c>
      <c r="G605">
        <v>1</v>
      </c>
      <c r="H605">
        <v>655.48400000000004</v>
      </c>
      <c r="I605" t="s">
        <v>50</v>
      </c>
      <c r="J605" s="1">
        <v>44373</v>
      </c>
      <c r="K605">
        <v>25.611510105026198</v>
      </c>
      <c r="L605" s="1">
        <v>44394</v>
      </c>
      <c r="M605" s="1">
        <v>44391</v>
      </c>
      <c r="N605">
        <v>307.33812126031398</v>
      </c>
      <c r="O605">
        <v>-3</v>
      </c>
      <c r="P605" t="str">
        <f>IF(Table1[[#This Row],[Delivery Delay]]&gt;0,"Late","On Time")</f>
        <v>On Time</v>
      </c>
      <c r="Q605">
        <v>25.611510105026166</v>
      </c>
      <c r="R605">
        <v>0.61102348699247933</v>
      </c>
      <c r="S605">
        <v>3.253745405546371E-3</v>
      </c>
      <c r="T605">
        <v>0.66</v>
      </c>
      <c r="U605">
        <v>0</v>
      </c>
      <c r="V605">
        <v>32.118082102015975</v>
      </c>
    </row>
    <row r="606" spans="1:22" x14ac:dyDescent="0.35">
      <c r="A606" t="s">
        <v>108</v>
      </c>
      <c r="B606" t="s">
        <v>10</v>
      </c>
      <c r="C606" t="s">
        <v>9</v>
      </c>
      <c r="D606">
        <v>0.89</v>
      </c>
      <c r="E606" t="s">
        <v>35</v>
      </c>
      <c r="F606" t="s">
        <v>39</v>
      </c>
      <c r="G606">
        <v>0</v>
      </c>
      <c r="H606">
        <v>104.42899999999899</v>
      </c>
      <c r="I606" t="s">
        <v>49</v>
      </c>
      <c r="J606" s="1">
        <v>44638</v>
      </c>
      <c r="K606">
        <v>66.771948989550907</v>
      </c>
      <c r="L606" s="1">
        <v>44650</v>
      </c>
      <c r="M606" s="1">
        <v>44654</v>
      </c>
      <c r="N606">
        <v>801.263387874611</v>
      </c>
      <c r="O606">
        <v>4</v>
      </c>
      <c r="P606" t="str">
        <f>IF(Table1[[#This Row],[Delivery Delay]]&gt;0,"Late","On Time")</f>
        <v>Late</v>
      </c>
      <c r="Q606">
        <v>66.771948989550921</v>
      </c>
      <c r="R606">
        <v>0.17214640249641736</v>
      </c>
      <c r="S606">
        <v>1.2480290690088153E-3</v>
      </c>
      <c r="T606">
        <v>0.89</v>
      </c>
      <c r="U606">
        <v>1</v>
      </c>
      <c r="V606">
        <v>50.180368921998621</v>
      </c>
    </row>
    <row r="607" spans="1:22" x14ac:dyDescent="0.35">
      <c r="A607" t="s">
        <v>102</v>
      </c>
      <c r="B607" t="s">
        <v>4</v>
      </c>
      <c r="C607" t="s">
        <v>11</v>
      </c>
      <c r="D607">
        <v>0.63</v>
      </c>
      <c r="E607" t="s">
        <v>36</v>
      </c>
      <c r="F607" t="s">
        <v>34</v>
      </c>
      <c r="G607">
        <v>1</v>
      </c>
      <c r="H607">
        <v>252.59549999999899</v>
      </c>
      <c r="I607" t="s">
        <v>45</v>
      </c>
      <c r="J607" s="1">
        <v>44815</v>
      </c>
      <c r="K607">
        <v>43.290321713994103</v>
      </c>
      <c r="L607" s="1">
        <v>44829</v>
      </c>
      <c r="M607" s="1">
        <v>44833</v>
      </c>
      <c r="N607">
        <v>519.48386056792901</v>
      </c>
      <c r="O607">
        <v>4</v>
      </c>
      <c r="P607" t="str">
        <f>IF(Table1[[#This Row],[Delivery Delay]]&gt;0,"Late","On Time")</f>
        <v>Late</v>
      </c>
      <c r="Q607">
        <v>43.290321713994082</v>
      </c>
      <c r="R607">
        <v>0.23835486916434087</v>
      </c>
      <c r="S607">
        <v>1.9249876192625958E-3</v>
      </c>
      <c r="T607">
        <v>0.63</v>
      </c>
      <c r="U607">
        <v>0</v>
      </c>
      <c r="V607">
        <v>23.724847011864693</v>
      </c>
    </row>
    <row r="608" spans="1:22" x14ac:dyDescent="0.35">
      <c r="A608" t="s">
        <v>99</v>
      </c>
      <c r="B608" t="s">
        <v>6</v>
      </c>
      <c r="C608" t="s">
        <v>11</v>
      </c>
      <c r="D608">
        <v>0.84</v>
      </c>
      <c r="E608" t="s">
        <v>37</v>
      </c>
      <c r="F608" t="s">
        <v>39</v>
      </c>
      <c r="G608">
        <v>0</v>
      </c>
      <c r="H608">
        <v>163.578</v>
      </c>
      <c r="I608" t="s">
        <v>45</v>
      </c>
      <c r="J608" s="1">
        <v>44502</v>
      </c>
      <c r="K608">
        <v>12.781728718271101</v>
      </c>
      <c r="L608" s="1">
        <v>44514</v>
      </c>
      <c r="M608" s="1">
        <v>44518</v>
      </c>
      <c r="N608">
        <v>140.59901590098201</v>
      </c>
      <c r="O608">
        <v>4</v>
      </c>
      <c r="P608" t="str">
        <f>IF(Table1[[#This Row],[Delivery Delay]]&gt;0,"Late","On Time")</f>
        <v>Late</v>
      </c>
      <c r="Q608">
        <v>12.781728718271092</v>
      </c>
      <c r="R608">
        <v>0.29971526884557459</v>
      </c>
      <c r="S608">
        <v>7.1124253152970718E-3</v>
      </c>
      <c r="T608">
        <v>0.84</v>
      </c>
      <c r="U608">
        <v>1</v>
      </c>
      <c r="V608">
        <v>51.407678136370407</v>
      </c>
    </row>
    <row r="609" spans="1:22" x14ac:dyDescent="0.35">
      <c r="A609" t="s">
        <v>103</v>
      </c>
      <c r="B609" t="s">
        <v>4</v>
      </c>
      <c r="C609" t="s">
        <v>9</v>
      </c>
      <c r="D609">
        <v>0.7</v>
      </c>
      <c r="E609" t="s">
        <v>38</v>
      </c>
      <c r="F609" t="s">
        <v>39</v>
      </c>
      <c r="G609">
        <v>0</v>
      </c>
      <c r="H609">
        <v>509.99040000000002</v>
      </c>
      <c r="I609" t="s">
        <v>50</v>
      </c>
      <c r="J609" s="1">
        <v>45238</v>
      </c>
      <c r="K609">
        <v>78.343676043460405</v>
      </c>
      <c r="L609" s="1">
        <v>45251</v>
      </c>
      <c r="M609" s="1">
        <v>45252</v>
      </c>
      <c r="N609">
        <v>861.78043647806498</v>
      </c>
      <c r="O609">
        <v>1</v>
      </c>
      <c r="P609" t="str">
        <f>IF(Table1[[#This Row],[Delivery Delay]]&gt;0,"Late","On Time")</f>
        <v>Late</v>
      </c>
      <c r="Q609">
        <v>78.343676043460448</v>
      </c>
      <c r="R609">
        <v>0.81386156815883814</v>
      </c>
      <c r="S609">
        <v>1.1603883746616626E-3</v>
      </c>
      <c r="T609">
        <v>0.7</v>
      </c>
      <c r="U609">
        <v>1</v>
      </c>
      <c r="V609">
        <v>57.312043014416616</v>
      </c>
    </row>
    <row r="610" spans="1:22" x14ac:dyDescent="0.35">
      <c r="A610" t="s">
        <v>104</v>
      </c>
      <c r="B610" t="s">
        <v>6</v>
      </c>
      <c r="C610" t="s">
        <v>9</v>
      </c>
      <c r="D610">
        <v>0.75</v>
      </c>
      <c r="E610" t="s">
        <v>38</v>
      </c>
      <c r="F610" t="s">
        <v>34</v>
      </c>
      <c r="G610">
        <v>1</v>
      </c>
      <c r="H610">
        <v>220.75479999999999</v>
      </c>
      <c r="I610" t="s">
        <v>46</v>
      </c>
      <c r="J610" s="1">
        <v>45370</v>
      </c>
      <c r="K610">
        <v>18.9292862842583</v>
      </c>
      <c r="L610" s="1">
        <v>45392</v>
      </c>
      <c r="M610" s="1">
        <v>45392</v>
      </c>
      <c r="N610">
        <v>170.36357655832401</v>
      </c>
      <c r="O610">
        <v>0</v>
      </c>
      <c r="P610" t="str">
        <f>IF(Table1[[#This Row],[Delivery Delay]]&gt;0,"Late","On Time")</f>
        <v>On Time</v>
      </c>
      <c r="Q610">
        <v>18.929286284258225</v>
      </c>
      <c r="R610">
        <v>0.70889979859013086</v>
      </c>
      <c r="S610">
        <v>5.8697992857507878E-3</v>
      </c>
      <c r="T610">
        <v>0.75</v>
      </c>
      <c r="U610">
        <v>0</v>
      </c>
      <c r="V610">
        <v>36.854089950375133</v>
      </c>
    </row>
    <row r="611" spans="1:22" x14ac:dyDescent="0.35">
      <c r="A611" t="s">
        <v>105</v>
      </c>
      <c r="B611" t="s">
        <v>12</v>
      </c>
      <c r="C611" t="s">
        <v>9</v>
      </c>
      <c r="D611">
        <v>0.71</v>
      </c>
      <c r="E611" t="s">
        <v>37</v>
      </c>
      <c r="F611" t="s">
        <v>34</v>
      </c>
      <c r="G611">
        <v>1</v>
      </c>
      <c r="H611">
        <v>6.2455999999999898</v>
      </c>
      <c r="I611" t="s">
        <v>49</v>
      </c>
      <c r="J611" s="1">
        <v>44981</v>
      </c>
      <c r="K611">
        <v>21.397357027782601</v>
      </c>
      <c r="L611" s="1">
        <v>45000</v>
      </c>
      <c r="M611" s="1">
        <v>45003</v>
      </c>
      <c r="N611">
        <v>106.98678513891301</v>
      </c>
      <c r="O611">
        <v>3</v>
      </c>
      <c r="P611" t="str">
        <f>IF(Table1[[#This Row],[Delivery Delay]]&gt;0,"Late","On Time")</f>
        <v>Late</v>
      </c>
      <c r="Q611">
        <v>21.397357027782601</v>
      </c>
      <c r="R611">
        <v>3.343010807940662E-2</v>
      </c>
      <c r="S611">
        <v>9.3469487722393687E-3</v>
      </c>
      <c r="T611">
        <v>0.71</v>
      </c>
      <c r="U611">
        <v>0</v>
      </c>
      <c r="V611">
        <v>22.249010624755314</v>
      </c>
    </row>
    <row r="612" spans="1:22" x14ac:dyDescent="0.35">
      <c r="A612" t="s">
        <v>106</v>
      </c>
      <c r="B612" t="s">
        <v>13</v>
      </c>
      <c r="C612" t="s">
        <v>11</v>
      </c>
      <c r="D612">
        <v>0.74</v>
      </c>
      <c r="E612" t="s">
        <v>37</v>
      </c>
      <c r="F612" t="s">
        <v>34</v>
      </c>
      <c r="G612">
        <v>1</v>
      </c>
      <c r="H612">
        <v>622.753999999999</v>
      </c>
      <c r="I612" t="s">
        <v>50</v>
      </c>
      <c r="J612" s="1">
        <v>45212</v>
      </c>
      <c r="K612">
        <v>54.100345438448798</v>
      </c>
      <c r="L612" s="1">
        <v>45233</v>
      </c>
      <c r="M612" s="1">
        <v>45232</v>
      </c>
      <c r="N612">
        <v>378.702418069141</v>
      </c>
      <c r="O612">
        <v>-1</v>
      </c>
      <c r="P612" t="str">
        <f>IF(Table1[[#This Row],[Delivery Delay]]&gt;0,"Late","On Time")</f>
        <v>On Time</v>
      </c>
      <c r="Q612">
        <v>54.100345438448713</v>
      </c>
      <c r="R612">
        <v>0.48324427676392057</v>
      </c>
      <c r="S612">
        <v>2.6405957614388047E-3</v>
      </c>
      <c r="T612">
        <v>0.74</v>
      </c>
      <c r="U612">
        <v>0</v>
      </c>
      <c r="V612">
        <v>31.944103408121578</v>
      </c>
    </row>
    <row r="613" spans="1:22" x14ac:dyDescent="0.35">
      <c r="A613" t="s">
        <v>108</v>
      </c>
      <c r="B613" t="s">
        <v>6</v>
      </c>
      <c r="C613" t="s">
        <v>11</v>
      </c>
      <c r="D613">
        <v>0.88</v>
      </c>
      <c r="E613" t="s">
        <v>35</v>
      </c>
      <c r="F613" t="s">
        <v>34</v>
      </c>
      <c r="G613">
        <v>1</v>
      </c>
      <c r="H613">
        <v>559.01999999999896</v>
      </c>
      <c r="I613" t="s">
        <v>49</v>
      </c>
      <c r="J613" s="1">
        <v>45123</v>
      </c>
      <c r="K613">
        <v>44.098139609661303</v>
      </c>
      <c r="L613" s="1">
        <v>45133</v>
      </c>
      <c r="M613" s="1">
        <v>45134</v>
      </c>
      <c r="N613">
        <v>396.88325648695098</v>
      </c>
      <c r="O613">
        <v>1</v>
      </c>
      <c r="P613" t="str">
        <f>IF(Table1[[#This Row],[Delivery Delay]]&gt;0,"Late","On Time")</f>
        <v>Late</v>
      </c>
      <c r="Q613">
        <v>44.098139609661217</v>
      </c>
      <c r="R613">
        <v>0.69261076419863177</v>
      </c>
      <c r="S613">
        <v>2.5196326215713733E-3</v>
      </c>
      <c r="T613">
        <v>0.88</v>
      </c>
      <c r="U613">
        <v>0</v>
      </c>
      <c r="V613">
        <v>40.327804262619779</v>
      </c>
    </row>
    <row r="614" spans="1:22" x14ac:dyDescent="0.35">
      <c r="A614" t="s">
        <v>107</v>
      </c>
      <c r="B614" t="s">
        <v>6</v>
      </c>
      <c r="C614" t="s">
        <v>9</v>
      </c>
      <c r="D614">
        <v>0.72</v>
      </c>
      <c r="E614" t="s">
        <v>37</v>
      </c>
      <c r="F614" t="s">
        <v>34</v>
      </c>
      <c r="G614">
        <v>1</v>
      </c>
      <c r="H614">
        <v>154.74599999999899</v>
      </c>
      <c r="I614" t="s">
        <v>49</v>
      </c>
      <c r="J614" s="1">
        <v>45108</v>
      </c>
      <c r="K614">
        <v>5.13124452542172</v>
      </c>
      <c r="L614" s="1">
        <v>45118</v>
      </c>
      <c r="M614" s="1">
        <v>45120</v>
      </c>
      <c r="N614">
        <v>61.574934305060701</v>
      </c>
      <c r="O614">
        <v>2</v>
      </c>
      <c r="P614" t="str">
        <f>IF(Table1[[#This Row],[Delivery Delay]]&gt;0,"Late","On Time")</f>
        <v>Late</v>
      </c>
      <c r="Q614">
        <v>5.1312445254217254</v>
      </c>
      <c r="R614">
        <v>0.40291512396306622</v>
      </c>
      <c r="S614">
        <v>1.6240374614866823E-2</v>
      </c>
      <c r="T614">
        <v>0.72</v>
      </c>
      <c r="U614">
        <v>0</v>
      </c>
      <c r="V614">
        <v>30.145513717707328</v>
      </c>
    </row>
    <row r="615" spans="1:22" x14ac:dyDescent="0.35">
      <c r="A615" t="s">
        <v>100</v>
      </c>
      <c r="B615" t="s">
        <v>14</v>
      </c>
      <c r="C615" t="s">
        <v>5</v>
      </c>
      <c r="D615">
        <v>0.82</v>
      </c>
      <c r="E615" t="s">
        <v>37</v>
      </c>
      <c r="F615" t="s">
        <v>39</v>
      </c>
      <c r="G615">
        <v>0</v>
      </c>
      <c r="H615">
        <v>1.43960000000004</v>
      </c>
      <c r="I615" t="s">
        <v>45</v>
      </c>
      <c r="J615" s="1">
        <v>45142</v>
      </c>
      <c r="K615">
        <v>78.368268467943096</v>
      </c>
      <c r="L615" s="1">
        <v>45158</v>
      </c>
      <c r="M615" s="1">
        <v>45159</v>
      </c>
      <c r="N615">
        <v>626.946147743545</v>
      </c>
      <c r="O615">
        <v>1</v>
      </c>
      <c r="P615" t="str">
        <f>IF(Table1[[#This Row],[Delivery Delay]]&gt;0,"Late","On Time")</f>
        <v>Late</v>
      </c>
      <c r="Q615">
        <v>78.368268467943125</v>
      </c>
      <c r="R615">
        <v>1.8217259676685906E-3</v>
      </c>
      <c r="S615">
        <v>1.5950333271830778E-3</v>
      </c>
      <c r="T615">
        <v>0.82</v>
      </c>
      <c r="U615">
        <v>1</v>
      </c>
      <c r="V615">
        <v>44.684285519168867</v>
      </c>
    </row>
    <row r="616" spans="1:22" x14ac:dyDescent="0.35">
      <c r="A616" t="s">
        <v>101</v>
      </c>
      <c r="B616" t="s">
        <v>6</v>
      </c>
      <c r="C616" t="s">
        <v>7</v>
      </c>
      <c r="D616">
        <v>0.79</v>
      </c>
      <c r="E616" t="s">
        <v>36</v>
      </c>
      <c r="F616" t="s">
        <v>39</v>
      </c>
      <c r="G616">
        <v>0</v>
      </c>
      <c r="H616">
        <v>64.424000000000007</v>
      </c>
      <c r="I616" t="s">
        <v>47</v>
      </c>
      <c r="J616" s="1">
        <v>45212</v>
      </c>
      <c r="K616">
        <v>9.4110025999075599</v>
      </c>
      <c r="L616" s="1">
        <v>45226</v>
      </c>
      <c r="M616" s="1">
        <v>45227</v>
      </c>
      <c r="N616">
        <v>103.52102859898299</v>
      </c>
      <c r="O616">
        <v>1</v>
      </c>
      <c r="P616" t="str">
        <f>IF(Table1[[#This Row],[Delivery Delay]]&gt;0,"Late","On Time")</f>
        <v>Late</v>
      </c>
      <c r="Q616">
        <v>9.4110025999075457</v>
      </c>
      <c r="R616">
        <v>0.49654704649155262</v>
      </c>
      <c r="S616">
        <v>9.6598731053356649E-3</v>
      </c>
      <c r="T616">
        <v>0.79</v>
      </c>
      <c r="U616">
        <v>1</v>
      </c>
      <c r="V616">
        <v>53.920737122991127</v>
      </c>
    </row>
    <row r="617" spans="1:22" x14ac:dyDescent="0.35">
      <c r="A617" t="s">
        <v>102</v>
      </c>
      <c r="B617" t="s">
        <v>6</v>
      </c>
      <c r="C617" t="s">
        <v>11</v>
      </c>
      <c r="D617">
        <v>0.86</v>
      </c>
      <c r="E617" t="s">
        <v>35</v>
      </c>
      <c r="F617" t="s">
        <v>34</v>
      </c>
      <c r="G617">
        <v>1</v>
      </c>
      <c r="H617">
        <v>675.6925</v>
      </c>
      <c r="I617" t="s">
        <v>49</v>
      </c>
      <c r="J617" s="1">
        <v>44756</v>
      </c>
      <c r="K617">
        <v>76.669042980393002</v>
      </c>
      <c r="L617" s="1">
        <v>44772</v>
      </c>
      <c r="M617" s="1">
        <v>44775</v>
      </c>
      <c r="N617">
        <v>766.69042980392999</v>
      </c>
      <c r="O617">
        <v>3</v>
      </c>
      <c r="P617" t="str">
        <f>IF(Table1[[#This Row],[Delivery Delay]]&gt;0,"Late","On Time")</f>
        <v>Late</v>
      </c>
      <c r="Q617">
        <v>76.669042980393002</v>
      </c>
      <c r="R617">
        <v>0.94074507224130777</v>
      </c>
      <c r="S617">
        <v>1.3043073985620709E-3</v>
      </c>
      <c r="T617">
        <v>0.86</v>
      </c>
      <c r="U617">
        <v>0</v>
      </c>
      <c r="V617">
        <v>44.654030666783015</v>
      </c>
    </row>
    <row r="618" spans="1:22" x14ac:dyDescent="0.35">
      <c r="A618" t="s">
        <v>99</v>
      </c>
      <c r="B618" t="s">
        <v>8</v>
      </c>
      <c r="C618" t="s">
        <v>11</v>
      </c>
      <c r="D618">
        <v>0.97</v>
      </c>
      <c r="E618" t="s">
        <v>36</v>
      </c>
      <c r="F618" t="s">
        <v>34</v>
      </c>
      <c r="G618">
        <v>1</v>
      </c>
      <c r="H618">
        <v>259.15199999999999</v>
      </c>
      <c r="I618" t="s">
        <v>48</v>
      </c>
      <c r="J618" s="1">
        <v>44439</v>
      </c>
      <c r="K618">
        <v>26.826157292881899</v>
      </c>
      <c r="L618" s="1">
        <v>44458</v>
      </c>
      <c r="M618" s="1">
        <v>44459</v>
      </c>
      <c r="N618">
        <v>295.08773022170101</v>
      </c>
      <c r="O618">
        <v>1</v>
      </c>
      <c r="P618" t="str">
        <f>IF(Table1[[#This Row],[Delivery Delay]]&gt;0,"Late","On Time")</f>
        <v>Late</v>
      </c>
      <c r="Q618">
        <v>26.826157292881909</v>
      </c>
      <c r="R618">
        <v>0.37873765805580401</v>
      </c>
      <c r="S618">
        <v>3.3888227045180586E-3</v>
      </c>
      <c r="T618">
        <v>0.97</v>
      </c>
      <c r="U618">
        <v>0</v>
      </c>
      <c r="V618">
        <v>36.776417842251625</v>
      </c>
    </row>
    <row r="619" spans="1:22" x14ac:dyDescent="0.35">
      <c r="A619" t="s">
        <v>103</v>
      </c>
      <c r="B619" t="s">
        <v>13</v>
      </c>
      <c r="C619" t="s">
        <v>5</v>
      </c>
      <c r="D619">
        <v>0.89</v>
      </c>
      <c r="E619" t="s">
        <v>37</v>
      </c>
      <c r="F619" t="s">
        <v>34</v>
      </c>
      <c r="G619">
        <v>1</v>
      </c>
      <c r="H619">
        <v>279.64319999999998</v>
      </c>
      <c r="I619" t="s">
        <v>45</v>
      </c>
      <c r="J619" s="1">
        <v>44228</v>
      </c>
      <c r="K619">
        <v>52.652739462248</v>
      </c>
      <c r="L619" s="1">
        <v>44248</v>
      </c>
      <c r="M619" s="1">
        <v>44252</v>
      </c>
      <c r="N619">
        <v>473.87465516023201</v>
      </c>
      <c r="O619">
        <v>4</v>
      </c>
      <c r="P619" t="str">
        <f>IF(Table1[[#This Row],[Delivery Delay]]&gt;0,"Late","On Time")</f>
        <v>Late</v>
      </c>
      <c r="Q619">
        <v>52.652739462248</v>
      </c>
      <c r="R619">
        <v>0.90346442528379134</v>
      </c>
      <c r="S619">
        <v>2.1102626804589673E-3</v>
      </c>
      <c r="T619">
        <v>0.89</v>
      </c>
      <c r="U619">
        <v>0</v>
      </c>
      <c r="V619">
        <v>44.832596386089598</v>
      </c>
    </row>
    <row r="620" spans="1:22" x14ac:dyDescent="0.35">
      <c r="A620" t="s">
        <v>104</v>
      </c>
      <c r="B620" t="s">
        <v>12</v>
      </c>
      <c r="C620" t="s">
        <v>5</v>
      </c>
      <c r="D620">
        <v>0.68</v>
      </c>
      <c r="E620" t="s">
        <v>38</v>
      </c>
      <c r="F620" t="s">
        <v>34</v>
      </c>
      <c r="G620">
        <v>1</v>
      </c>
      <c r="H620">
        <v>514.26399999999899</v>
      </c>
      <c r="I620" t="s">
        <v>46</v>
      </c>
      <c r="J620" s="1">
        <v>44712</v>
      </c>
      <c r="K620">
        <v>3.4939928257038702</v>
      </c>
      <c r="L620" s="1">
        <v>44731</v>
      </c>
      <c r="M620" s="1">
        <v>44733</v>
      </c>
      <c r="N620">
        <v>38.433921082742501</v>
      </c>
      <c r="O620">
        <v>2</v>
      </c>
      <c r="P620" t="str">
        <f>IF(Table1[[#This Row],[Delivery Delay]]&gt;0,"Late","On Time")</f>
        <v>Late</v>
      </c>
      <c r="Q620">
        <v>3.4939928257038635</v>
      </c>
      <c r="R620">
        <v>0.36396114833781967</v>
      </c>
      <c r="S620">
        <v>2.6018682763258767E-2</v>
      </c>
      <c r="T620">
        <v>0.68</v>
      </c>
      <c r="U620">
        <v>0</v>
      </c>
      <c r="V620">
        <v>28.459783449654157</v>
      </c>
    </row>
    <row r="621" spans="1:22" x14ac:dyDescent="0.35">
      <c r="A621" t="s">
        <v>105</v>
      </c>
      <c r="B621" t="s">
        <v>10</v>
      </c>
      <c r="C621" t="s">
        <v>9</v>
      </c>
      <c r="D621">
        <v>0.61</v>
      </c>
      <c r="E621" t="s">
        <v>35</v>
      </c>
      <c r="F621" t="s">
        <v>39</v>
      </c>
      <c r="G621">
        <v>0</v>
      </c>
      <c r="H621">
        <v>496.65499999999901</v>
      </c>
      <c r="I621" t="s">
        <v>47</v>
      </c>
      <c r="J621" s="1">
        <v>44367</v>
      </c>
      <c r="K621">
        <v>52.641836511714203</v>
      </c>
      <c r="L621" s="1">
        <v>44389</v>
      </c>
      <c r="M621" s="1">
        <v>44395</v>
      </c>
      <c r="N621">
        <v>736.98571116399899</v>
      </c>
      <c r="O621">
        <v>6</v>
      </c>
      <c r="P621" t="str">
        <f>IF(Table1[[#This Row],[Delivery Delay]]&gt;0,"Late","On Time")</f>
        <v>Late</v>
      </c>
      <c r="Q621">
        <v>52.64183651171421</v>
      </c>
      <c r="R621">
        <v>0.33848109288798334</v>
      </c>
      <c r="S621">
        <v>1.3568784100584459E-3</v>
      </c>
      <c r="T621">
        <v>0.61</v>
      </c>
      <c r="U621">
        <v>1</v>
      </c>
      <c r="V621">
        <v>45.110328210061418</v>
      </c>
    </row>
    <row r="622" spans="1:22" x14ac:dyDescent="0.35">
      <c r="A622" t="s">
        <v>106</v>
      </c>
      <c r="B622" t="s">
        <v>14</v>
      </c>
      <c r="C622" t="s">
        <v>9</v>
      </c>
      <c r="D622">
        <v>0.7</v>
      </c>
      <c r="E622" t="s">
        <v>36</v>
      </c>
      <c r="F622" t="s">
        <v>34</v>
      </c>
      <c r="G622">
        <v>1</v>
      </c>
      <c r="H622">
        <v>281.2448</v>
      </c>
      <c r="I622" t="s">
        <v>48</v>
      </c>
      <c r="J622" s="1">
        <v>45370</v>
      </c>
      <c r="K622">
        <v>78.975853394742401</v>
      </c>
      <c r="L622" s="1">
        <v>45381</v>
      </c>
      <c r="M622" s="1">
        <v>45380</v>
      </c>
      <c r="N622">
        <v>1026.68609413165</v>
      </c>
      <c r="O622">
        <v>-1</v>
      </c>
      <c r="P622" t="str">
        <f>IF(Table1[[#This Row],[Delivery Delay]]&gt;0,"Late","On Time")</f>
        <v>On Time</v>
      </c>
      <c r="Q622">
        <v>78.975853394742302</v>
      </c>
      <c r="R622">
        <v>0.51717969389016061</v>
      </c>
      <c r="S622">
        <v>9.7400754302197844E-4</v>
      </c>
      <c r="T622">
        <v>0.7</v>
      </c>
      <c r="U622">
        <v>0</v>
      </c>
      <c r="V622">
        <v>31.37281410409387</v>
      </c>
    </row>
    <row r="623" spans="1:22" x14ac:dyDescent="0.35">
      <c r="A623" t="s">
        <v>108</v>
      </c>
      <c r="B623" t="s">
        <v>8</v>
      </c>
      <c r="C623" t="s">
        <v>7</v>
      </c>
      <c r="D623">
        <v>0.83</v>
      </c>
      <c r="E623" t="s">
        <v>38</v>
      </c>
      <c r="F623" t="s">
        <v>34</v>
      </c>
      <c r="G623">
        <v>1</v>
      </c>
      <c r="H623">
        <v>75.754000000000104</v>
      </c>
      <c r="I623" t="s">
        <v>48</v>
      </c>
      <c r="J623" s="1">
        <v>45350</v>
      </c>
      <c r="K623">
        <v>76.676520099655903</v>
      </c>
      <c r="L623" s="1">
        <v>45374</v>
      </c>
      <c r="M623" s="1">
        <v>45377</v>
      </c>
      <c r="N623">
        <v>613.412160797247</v>
      </c>
      <c r="O623">
        <v>3</v>
      </c>
      <c r="P623" t="str">
        <f>IF(Table1[[#This Row],[Delivery Delay]]&gt;0,"Late","On Time")</f>
        <v>Late</v>
      </c>
      <c r="Q623">
        <v>76.676520099655875</v>
      </c>
      <c r="R623">
        <v>6.8250905008766377E-2</v>
      </c>
      <c r="S623">
        <v>1.6302252611039008E-3</v>
      </c>
      <c r="T623">
        <v>0.83</v>
      </c>
      <c r="U623">
        <v>0</v>
      </c>
      <c r="V623">
        <v>26.313924858008441</v>
      </c>
    </row>
    <row r="624" spans="1:22" x14ac:dyDescent="0.35">
      <c r="A624" t="s">
        <v>102</v>
      </c>
      <c r="B624" t="s">
        <v>15</v>
      </c>
      <c r="C624" t="s">
        <v>7</v>
      </c>
      <c r="D624">
        <v>0.62</v>
      </c>
      <c r="E624" t="s">
        <v>35</v>
      </c>
      <c r="F624" t="s">
        <v>34</v>
      </c>
      <c r="G624">
        <v>1</v>
      </c>
      <c r="H624">
        <v>200.454599999999</v>
      </c>
      <c r="I624" t="s">
        <v>46</v>
      </c>
      <c r="J624" s="1">
        <v>45390</v>
      </c>
      <c r="K624">
        <v>21.490030423802299</v>
      </c>
      <c r="L624" s="1">
        <v>45408</v>
      </c>
      <c r="M624" s="1">
        <v>45410</v>
      </c>
      <c r="N624">
        <v>236.39033466182499</v>
      </c>
      <c r="O624">
        <v>2</v>
      </c>
      <c r="P624" t="str">
        <f>IF(Table1[[#This Row],[Delivery Delay]]&gt;0,"Late","On Time")</f>
        <v>Late</v>
      </c>
      <c r="Q624">
        <v>21.490030423802271</v>
      </c>
      <c r="R624">
        <v>0.47148637225141038</v>
      </c>
      <c r="S624">
        <v>4.230291401002409E-3</v>
      </c>
      <c r="T624">
        <v>0.62</v>
      </c>
      <c r="U624">
        <v>0</v>
      </c>
      <c r="V624">
        <v>28.156636187058282</v>
      </c>
    </row>
    <row r="625" spans="1:22" x14ac:dyDescent="0.35">
      <c r="A625" t="s">
        <v>99</v>
      </c>
      <c r="B625" t="s">
        <v>13</v>
      </c>
      <c r="C625" t="s">
        <v>9</v>
      </c>
      <c r="D625">
        <v>0.79</v>
      </c>
      <c r="E625" t="s">
        <v>38</v>
      </c>
      <c r="F625" t="s">
        <v>34</v>
      </c>
      <c r="G625">
        <v>1</v>
      </c>
      <c r="H625">
        <v>220.203</v>
      </c>
      <c r="I625" t="s">
        <v>47</v>
      </c>
      <c r="J625" s="1">
        <v>44305</v>
      </c>
      <c r="K625">
        <v>23.831496713734701</v>
      </c>
      <c r="L625" s="1">
        <v>44315</v>
      </c>
      <c r="M625" s="1">
        <v>44316</v>
      </c>
      <c r="N625">
        <v>190.65197370987801</v>
      </c>
      <c r="O625">
        <v>1</v>
      </c>
      <c r="P625" t="str">
        <f>IF(Table1[[#This Row],[Delivery Delay]]&gt;0,"Late","On Time")</f>
        <v>Late</v>
      </c>
      <c r="Q625">
        <v>23.831496713734751</v>
      </c>
      <c r="R625">
        <v>0.52790903402593481</v>
      </c>
      <c r="S625">
        <v>5.2451594417886075E-3</v>
      </c>
      <c r="T625">
        <v>0.79</v>
      </c>
      <c r="U625">
        <v>0</v>
      </c>
      <c r="V625">
        <v>34.415535463772351</v>
      </c>
    </row>
    <row r="626" spans="1:22" x14ac:dyDescent="0.35">
      <c r="A626" t="s">
        <v>103</v>
      </c>
      <c r="B626" t="s">
        <v>12</v>
      </c>
      <c r="C626" t="s">
        <v>9</v>
      </c>
      <c r="D626">
        <v>0.83</v>
      </c>
      <c r="E626" t="s">
        <v>36</v>
      </c>
      <c r="F626" t="s">
        <v>39</v>
      </c>
      <c r="G626">
        <v>0</v>
      </c>
      <c r="H626">
        <v>37.868399999999902</v>
      </c>
      <c r="I626" t="s">
        <v>45</v>
      </c>
      <c r="J626" s="1">
        <v>44989</v>
      </c>
      <c r="K626">
        <v>8.0761752917325502</v>
      </c>
      <c r="L626" s="1">
        <v>45008</v>
      </c>
      <c r="M626" s="1">
        <v>45008</v>
      </c>
      <c r="N626">
        <v>96.914103500790603</v>
      </c>
      <c r="O626">
        <v>0</v>
      </c>
      <c r="P626" t="str">
        <f>IF(Table1[[#This Row],[Delivery Delay]]&gt;0,"Late","On Time")</f>
        <v>On Time</v>
      </c>
      <c r="Q626">
        <v>8.0761752917325502</v>
      </c>
      <c r="R626">
        <v>6.2064245354081012E-2</v>
      </c>
      <c r="S626">
        <v>1.031841562659497E-2</v>
      </c>
      <c r="T626">
        <v>0.83</v>
      </c>
      <c r="U626">
        <v>1</v>
      </c>
      <c r="V626">
        <v>46.450837375879466</v>
      </c>
    </row>
    <row r="627" spans="1:22" x14ac:dyDescent="0.35">
      <c r="A627" t="s">
        <v>104</v>
      </c>
      <c r="B627" t="s">
        <v>12</v>
      </c>
      <c r="C627" t="s">
        <v>11</v>
      </c>
      <c r="D627">
        <v>0.73</v>
      </c>
      <c r="E627" t="s">
        <v>38</v>
      </c>
      <c r="F627" t="s">
        <v>34</v>
      </c>
      <c r="G627">
        <v>1</v>
      </c>
      <c r="H627">
        <v>358.178</v>
      </c>
      <c r="I627" t="s">
        <v>51</v>
      </c>
      <c r="J627" s="1">
        <v>44365</v>
      </c>
      <c r="K627">
        <v>62.105210859092502</v>
      </c>
      <c r="L627" s="1">
        <v>44383</v>
      </c>
      <c r="M627" s="1">
        <v>44381</v>
      </c>
      <c r="N627">
        <v>683.15731945001801</v>
      </c>
      <c r="O627">
        <v>-2</v>
      </c>
      <c r="P627" t="str">
        <f>IF(Table1[[#This Row],[Delivery Delay]]&gt;0,"Late","On Time")</f>
        <v>On Time</v>
      </c>
      <c r="Q627">
        <v>62.105210859092544</v>
      </c>
      <c r="R627">
        <v>0.80196046821963696</v>
      </c>
      <c r="S627">
        <v>1.4637916794993269E-3</v>
      </c>
      <c r="T627">
        <v>0.73</v>
      </c>
      <c r="U627">
        <v>0</v>
      </c>
      <c r="V627">
        <v>37.983123114777719</v>
      </c>
    </row>
    <row r="628" spans="1:22" x14ac:dyDescent="0.35">
      <c r="A628" t="s">
        <v>105</v>
      </c>
      <c r="B628" t="s">
        <v>15</v>
      </c>
      <c r="C628" t="s">
        <v>9</v>
      </c>
      <c r="D628">
        <v>0.9</v>
      </c>
      <c r="E628" t="s">
        <v>35</v>
      </c>
      <c r="F628" t="s">
        <v>34</v>
      </c>
      <c r="G628">
        <v>1</v>
      </c>
      <c r="H628">
        <v>254.55</v>
      </c>
      <c r="I628" t="s">
        <v>47</v>
      </c>
      <c r="J628" s="1">
        <v>45300</v>
      </c>
      <c r="K628">
        <v>41.663547117221</v>
      </c>
      <c r="L628" s="1">
        <v>45317</v>
      </c>
      <c r="M628" s="1">
        <v>45317</v>
      </c>
      <c r="N628">
        <v>416.63547117220998</v>
      </c>
      <c r="O628">
        <v>0</v>
      </c>
      <c r="P628" t="str">
        <f>IF(Table1[[#This Row],[Delivery Delay]]&gt;0,"Late","On Time")</f>
        <v>On Time</v>
      </c>
      <c r="Q628">
        <v>41.663547117221</v>
      </c>
      <c r="R628">
        <v>0.38737216946676406</v>
      </c>
      <c r="S628">
        <v>2.4001796995020263E-3</v>
      </c>
      <c r="T628">
        <v>0.9</v>
      </c>
      <c r="U628">
        <v>0</v>
      </c>
      <c r="V628">
        <v>34.819448780320336</v>
      </c>
    </row>
    <row r="629" spans="1:22" x14ac:dyDescent="0.35">
      <c r="A629" t="s">
        <v>106</v>
      </c>
      <c r="B629" t="s">
        <v>10</v>
      </c>
      <c r="C629" t="s">
        <v>11</v>
      </c>
      <c r="D629">
        <v>0.64</v>
      </c>
      <c r="E629" t="s">
        <v>38</v>
      </c>
      <c r="F629" t="s">
        <v>34</v>
      </c>
      <c r="G629">
        <v>1</v>
      </c>
      <c r="H629">
        <v>269.45600000000002</v>
      </c>
      <c r="I629" t="s">
        <v>46</v>
      </c>
      <c r="J629" s="1">
        <v>44358</v>
      </c>
      <c r="K629">
        <v>43.041852399869803</v>
      </c>
      <c r="L629" s="1">
        <v>44378</v>
      </c>
      <c r="M629" s="1">
        <v>44375</v>
      </c>
      <c r="N629">
        <v>688.66963839791595</v>
      </c>
      <c r="O629">
        <v>-3</v>
      </c>
      <c r="P629" t="str">
        <f>IF(Table1[[#This Row],[Delivery Delay]]&gt;0,"Late","On Time")</f>
        <v>On Time</v>
      </c>
      <c r="Q629">
        <v>43.041852399869747</v>
      </c>
      <c r="R629">
        <v>0.82976941269215621</v>
      </c>
      <c r="S629">
        <v>1.4520750505661122E-3</v>
      </c>
      <c r="T629">
        <v>0.64</v>
      </c>
      <c r="U629">
        <v>0</v>
      </c>
      <c r="V629">
        <v>35.83895050536011</v>
      </c>
    </row>
    <row r="630" spans="1:22" x14ac:dyDescent="0.35">
      <c r="A630" t="s">
        <v>108</v>
      </c>
      <c r="B630" t="s">
        <v>6</v>
      </c>
      <c r="C630" t="s">
        <v>5</v>
      </c>
      <c r="D630">
        <v>0.63</v>
      </c>
      <c r="E630" t="s">
        <v>38</v>
      </c>
      <c r="F630" t="s">
        <v>39</v>
      </c>
      <c r="G630">
        <v>0</v>
      </c>
      <c r="H630">
        <v>43.563600000000001</v>
      </c>
      <c r="I630" t="s">
        <v>48</v>
      </c>
      <c r="J630" s="1">
        <v>44340</v>
      </c>
      <c r="K630">
        <v>28.626855043828701</v>
      </c>
      <c r="L630" s="1">
        <v>44363</v>
      </c>
      <c r="M630" s="1">
        <v>44364</v>
      </c>
      <c r="N630">
        <v>458.029680701259</v>
      </c>
      <c r="O630">
        <v>1</v>
      </c>
      <c r="P630" t="str">
        <f>IF(Table1[[#This Row],[Delivery Delay]]&gt;0,"Late","On Time")</f>
        <v>Late</v>
      </c>
      <c r="Q630">
        <v>28.626855043828687</v>
      </c>
      <c r="R630">
        <v>0.12241656634733082</v>
      </c>
      <c r="S630">
        <v>2.1832646270192927E-3</v>
      </c>
      <c r="T630">
        <v>0.63</v>
      </c>
      <c r="U630">
        <v>1</v>
      </c>
      <c r="V630">
        <v>41.413829265757194</v>
      </c>
    </row>
    <row r="631" spans="1:22" x14ac:dyDescent="0.35">
      <c r="A631" t="s">
        <v>107</v>
      </c>
      <c r="B631" t="s">
        <v>8</v>
      </c>
      <c r="C631" t="s">
        <v>9</v>
      </c>
      <c r="D631">
        <v>0.88</v>
      </c>
      <c r="E631" t="s">
        <v>35</v>
      </c>
      <c r="F631" t="s">
        <v>34</v>
      </c>
      <c r="G631">
        <v>1</v>
      </c>
      <c r="H631">
        <v>2.64</v>
      </c>
      <c r="I631" t="s">
        <v>45</v>
      </c>
      <c r="J631" s="1">
        <v>44647</v>
      </c>
      <c r="K631">
        <v>57.085016689539898</v>
      </c>
      <c r="L631" s="1">
        <v>44669</v>
      </c>
      <c r="M631" s="1">
        <v>44672</v>
      </c>
      <c r="N631">
        <v>570.85016689539896</v>
      </c>
      <c r="O631">
        <v>3</v>
      </c>
      <c r="P631" t="str">
        <f>IF(Table1[[#This Row],[Delivery Delay]]&gt;0,"Late","On Time")</f>
        <v>Late</v>
      </c>
      <c r="Q631">
        <v>57.085016689539898</v>
      </c>
      <c r="R631">
        <v>3.5928143712574849E-2</v>
      </c>
      <c r="S631">
        <v>1.7517731586881313E-3</v>
      </c>
      <c r="T631">
        <v>0.88</v>
      </c>
      <c r="U631">
        <v>0</v>
      </c>
      <c r="V631">
        <v>27.171116069012147</v>
      </c>
    </row>
    <row r="632" spans="1:22" x14ac:dyDescent="0.35">
      <c r="A632" t="s">
        <v>100</v>
      </c>
      <c r="B632" t="s">
        <v>4</v>
      </c>
      <c r="C632" t="s">
        <v>5</v>
      </c>
      <c r="D632">
        <v>0.79</v>
      </c>
      <c r="E632" t="s">
        <v>36</v>
      </c>
      <c r="F632" t="s">
        <v>34</v>
      </c>
      <c r="G632">
        <v>1</v>
      </c>
      <c r="H632">
        <v>29.801600000000001</v>
      </c>
      <c r="I632" t="s">
        <v>47</v>
      </c>
      <c r="J632" s="1">
        <v>44669</v>
      </c>
      <c r="K632">
        <v>23.876158539248099</v>
      </c>
      <c r="L632" s="1">
        <v>44679</v>
      </c>
      <c r="M632" s="1">
        <v>44683</v>
      </c>
      <c r="N632">
        <v>262.63774393172901</v>
      </c>
      <c r="O632">
        <v>4</v>
      </c>
      <c r="P632" t="str">
        <f>IF(Table1[[#This Row],[Delivery Delay]]&gt;0,"Late","On Time")</f>
        <v>Late</v>
      </c>
      <c r="Q632">
        <v>23.876158539248092</v>
      </c>
      <c r="R632">
        <v>6.6491507393101681E-2</v>
      </c>
      <c r="S632">
        <v>3.8075258530241699E-3</v>
      </c>
      <c r="T632">
        <v>0.79</v>
      </c>
      <c r="U632">
        <v>0</v>
      </c>
      <c r="V632">
        <v>25.144055923452758</v>
      </c>
    </row>
    <row r="633" spans="1:22" x14ac:dyDescent="0.35">
      <c r="A633" t="s">
        <v>101</v>
      </c>
      <c r="B633" t="s">
        <v>14</v>
      </c>
      <c r="C633" t="s">
        <v>7</v>
      </c>
      <c r="D633">
        <v>0.87</v>
      </c>
      <c r="E633" t="s">
        <v>35</v>
      </c>
      <c r="F633" t="s">
        <v>34</v>
      </c>
      <c r="G633">
        <v>1</v>
      </c>
      <c r="H633">
        <v>326.589</v>
      </c>
      <c r="I633" t="s">
        <v>51</v>
      </c>
      <c r="J633" s="1">
        <v>45357</v>
      </c>
      <c r="K633">
        <v>10.0427797676367</v>
      </c>
      <c r="L633" s="1">
        <v>45373</v>
      </c>
      <c r="M633" s="1">
        <v>45376</v>
      </c>
      <c r="N633">
        <v>70.299458373457099</v>
      </c>
      <c r="O633">
        <v>3</v>
      </c>
      <c r="P633" t="str">
        <f>IF(Table1[[#This Row],[Delivery Delay]]&gt;0,"Late","On Time")</f>
        <v>Late</v>
      </c>
      <c r="Q633">
        <v>10.042779767636729</v>
      </c>
      <c r="R633">
        <v>0.47459053199234469</v>
      </c>
      <c r="S633">
        <v>1.4224860662334336E-2</v>
      </c>
      <c r="T633">
        <v>0.87</v>
      </c>
      <c r="U633">
        <v>0</v>
      </c>
      <c r="V633">
        <v>36.018556459716919</v>
      </c>
    </row>
    <row r="634" spans="1:22" x14ac:dyDescent="0.35">
      <c r="A634" t="s">
        <v>102</v>
      </c>
      <c r="B634" t="s">
        <v>4</v>
      </c>
      <c r="C634" t="s">
        <v>7</v>
      </c>
      <c r="D634">
        <v>0.77</v>
      </c>
      <c r="E634" t="s">
        <v>35</v>
      </c>
      <c r="F634" t="s">
        <v>39</v>
      </c>
      <c r="G634">
        <v>0</v>
      </c>
      <c r="H634">
        <v>39.517599999999902</v>
      </c>
      <c r="I634" t="s">
        <v>51</v>
      </c>
      <c r="J634" s="1">
        <v>44602</v>
      </c>
      <c r="K634">
        <v>69.430328558470094</v>
      </c>
      <c r="L634" s="1">
        <v>44620</v>
      </c>
      <c r="M634" s="1">
        <v>44626</v>
      </c>
      <c r="N634">
        <v>555.44262846775996</v>
      </c>
      <c r="O634">
        <v>6</v>
      </c>
      <c r="P634" t="str">
        <f>IF(Table1[[#This Row],[Delivery Delay]]&gt;0,"Late","On Time")</f>
        <v>Late</v>
      </c>
      <c r="Q634">
        <v>69.430328558469995</v>
      </c>
      <c r="R634">
        <v>2.6847698539646445E-2</v>
      </c>
      <c r="S634">
        <v>1.8003659581523168E-3</v>
      </c>
      <c r="T634">
        <v>0.77</v>
      </c>
      <c r="U634">
        <v>1</v>
      </c>
      <c r="V634">
        <v>43.690964949537495</v>
      </c>
    </row>
    <row r="635" spans="1:22" x14ac:dyDescent="0.35">
      <c r="A635" t="s">
        <v>99</v>
      </c>
      <c r="B635" t="s">
        <v>15</v>
      </c>
      <c r="C635" t="s">
        <v>9</v>
      </c>
      <c r="D635">
        <v>0.7</v>
      </c>
      <c r="E635" t="s">
        <v>35</v>
      </c>
      <c r="F635" t="s">
        <v>39</v>
      </c>
      <c r="G635">
        <v>0</v>
      </c>
      <c r="H635">
        <v>494.86749999999898</v>
      </c>
      <c r="I635" t="s">
        <v>49</v>
      </c>
      <c r="J635" s="1">
        <v>45355</v>
      </c>
      <c r="K635">
        <v>53.609390064827799</v>
      </c>
      <c r="L635" s="1">
        <v>45373</v>
      </c>
      <c r="M635" s="1">
        <v>45378</v>
      </c>
      <c r="N635">
        <v>696.92207084276095</v>
      </c>
      <c r="O635">
        <v>5</v>
      </c>
      <c r="P635" t="str">
        <f>IF(Table1[[#This Row],[Delivery Delay]]&gt;0,"Late","On Time")</f>
        <v>Late</v>
      </c>
      <c r="Q635">
        <v>53.609390064827764</v>
      </c>
      <c r="R635">
        <v>0.70522325579738143</v>
      </c>
      <c r="S635">
        <v>1.4348806585946384E-3</v>
      </c>
      <c r="T635">
        <v>0.7</v>
      </c>
      <c r="U635">
        <v>1</v>
      </c>
      <c r="V635">
        <v>55.147511535705476</v>
      </c>
    </row>
    <row r="636" spans="1:22" x14ac:dyDescent="0.35">
      <c r="A636" t="s">
        <v>103</v>
      </c>
      <c r="B636" t="s">
        <v>12</v>
      </c>
      <c r="C636" t="s">
        <v>9</v>
      </c>
      <c r="D636">
        <v>0.92</v>
      </c>
      <c r="E636" t="s">
        <v>35</v>
      </c>
      <c r="F636" t="s">
        <v>34</v>
      </c>
      <c r="G636">
        <v>1</v>
      </c>
      <c r="H636">
        <v>386.1112</v>
      </c>
      <c r="I636" t="s">
        <v>49</v>
      </c>
      <c r="J636" s="1">
        <v>44882</v>
      </c>
      <c r="K636">
        <v>32.848178888499703</v>
      </c>
      <c r="L636" s="1">
        <v>44905</v>
      </c>
      <c r="M636" s="1">
        <v>44907</v>
      </c>
      <c r="N636">
        <v>361.32996777349598</v>
      </c>
      <c r="O636">
        <v>2</v>
      </c>
      <c r="P636" t="str">
        <f>IF(Table1[[#This Row],[Delivery Delay]]&gt;0,"Late","On Time")</f>
        <v>Late</v>
      </c>
      <c r="Q636">
        <v>32.848178888499632</v>
      </c>
      <c r="R636">
        <v>0.47443646790636684</v>
      </c>
      <c r="S636">
        <v>2.7675534530445093E-3</v>
      </c>
      <c r="T636">
        <v>0.92</v>
      </c>
      <c r="U636">
        <v>0</v>
      </c>
      <c r="V636">
        <v>37.171755961718681</v>
      </c>
    </row>
    <row r="637" spans="1:22" x14ac:dyDescent="0.35">
      <c r="A637" t="s">
        <v>104</v>
      </c>
      <c r="B637" t="s">
        <v>10</v>
      </c>
      <c r="C637" t="s">
        <v>5</v>
      </c>
      <c r="D637">
        <v>0.91</v>
      </c>
      <c r="E637" t="s">
        <v>36</v>
      </c>
      <c r="F637" t="s">
        <v>34</v>
      </c>
      <c r="G637">
        <v>1</v>
      </c>
      <c r="H637">
        <v>549.76800000000003</v>
      </c>
      <c r="I637" t="s">
        <v>50</v>
      </c>
      <c r="J637" s="1">
        <v>45122</v>
      </c>
      <c r="K637">
        <v>57.980531610390003</v>
      </c>
      <c r="L637" s="1">
        <v>45139</v>
      </c>
      <c r="M637" s="1">
        <v>45142</v>
      </c>
      <c r="N637">
        <v>405.86372127273</v>
      </c>
      <c r="O637">
        <v>3</v>
      </c>
      <c r="P637" t="str">
        <f>IF(Table1[[#This Row],[Delivery Delay]]&gt;0,"Late","On Time")</f>
        <v>Late</v>
      </c>
      <c r="Q637">
        <v>57.980531610390003</v>
      </c>
      <c r="R637">
        <v>0.45835084138703802</v>
      </c>
      <c r="S637">
        <v>2.4638812182181361E-3</v>
      </c>
      <c r="T637">
        <v>0.91</v>
      </c>
      <c r="U637">
        <v>0</v>
      </c>
      <c r="V637">
        <v>36.540933264287304</v>
      </c>
    </row>
    <row r="638" spans="1:22" x14ac:dyDescent="0.35">
      <c r="A638" t="s">
        <v>105</v>
      </c>
      <c r="B638" t="s">
        <v>12</v>
      </c>
      <c r="C638" t="s">
        <v>11</v>
      </c>
      <c r="D638">
        <v>0.87</v>
      </c>
      <c r="E638" t="s">
        <v>38</v>
      </c>
      <c r="F638" t="s">
        <v>34</v>
      </c>
      <c r="G638">
        <v>1</v>
      </c>
      <c r="H638">
        <v>646.53499999999894</v>
      </c>
      <c r="I638" t="s">
        <v>46</v>
      </c>
      <c r="J638" s="1">
        <v>44214</v>
      </c>
      <c r="K638">
        <v>63.810143819086697</v>
      </c>
      <c r="L638" s="1">
        <v>44225</v>
      </c>
      <c r="M638" s="1">
        <v>44224</v>
      </c>
      <c r="N638">
        <v>382.86086291452</v>
      </c>
      <c r="O638">
        <v>-1</v>
      </c>
      <c r="P638" t="str">
        <f>IF(Table1[[#This Row],[Delivery Delay]]&gt;0,"Late","On Time")</f>
        <v>On Time</v>
      </c>
      <c r="Q638">
        <v>63.810143819086669</v>
      </c>
      <c r="R638">
        <v>0.63884648258212939</v>
      </c>
      <c r="S638">
        <v>2.6119149196591205E-3</v>
      </c>
      <c r="T638">
        <v>0.87</v>
      </c>
      <c r="U638">
        <v>0</v>
      </c>
      <c r="V638">
        <v>38.955287099232358</v>
      </c>
    </row>
    <row r="639" spans="1:22" x14ac:dyDescent="0.35">
      <c r="A639" t="s">
        <v>106</v>
      </c>
      <c r="B639" t="s">
        <v>14</v>
      </c>
      <c r="C639" t="s">
        <v>7</v>
      </c>
      <c r="D639">
        <v>0.71</v>
      </c>
      <c r="E639" t="s">
        <v>38</v>
      </c>
      <c r="F639" t="s">
        <v>34</v>
      </c>
      <c r="G639">
        <v>1</v>
      </c>
      <c r="H639">
        <v>213.72</v>
      </c>
      <c r="I639" t="s">
        <v>47</v>
      </c>
      <c r="J639" s="1">
        <v>44729</v>
      </c>
      <c r="K639">
        <v>56.840723950559301</v>
      </c>
      <c r="L639" s="1">
        <v>44744</v>
      </c>
      <c r="M639" s="1">
        <v>44750</v>
      </c>
      <c r="N639">
        <v>284.20361975279599</v>
      </c>
      <c r="O639">
        <v>6</v>
      </c>
      <c r="P639" t="str">
        <f>IF(Table1[[#This Row],[Delivery Delay]]&gt;0,"Late","On Time")</f>
        <v>Late</v>
      </c>
      <c r="Q639">
        <v>56.840723950559195</v>
      </c>
      <c r="R639">
        <v>0.39830034663982999</v>
      </c>
      <c r="S639">
        <v>3.5186040236567465E-3</v>
      </c>
      <c r="T639">
        <v>0.71</v>
      </c>
      <c r="U639">
        <v>0</v>
      </c>
      <c r="V639">
        <v>29.371565053506306</v>
      </c>
    </row>
    <row r="640" spans="1:22" x14ac:dyDescent="0.35">
      <c r="A640" t="s">
        <v>108</v>
      </c>
      <c r="B640" t="s">
        <v>12</v>
      </c>
      <c r="C640" t="s">
        <v>7</v>
      </c>
      <c r="D640">
        <v>0.83</v>
      </c>
      <c r="E640" t="s">
        <v>37</v>
      </c>
      <c r="F640" t="s">
        <v>34</v>
      </c>
      <c r="G640">
        <v>1</v>
      </c>
      <c r="H640">
        <v>-120.706599999999</v>
      </c>
      <c r="I640" t="s">
        <v>47</v>
      </c>
      <c r="J640" s="1">
        <v>45119</v>
      </c>
      <c r="K640">
        <v>60.069912302026196</v>
      </c>
      <c r="L640" s="1">
        <v>45132</v>
      </c>
      <c r="M640" s="1">
        <v>45136</v>
      </c>
      <c r="N640">
        <v>780.90885992634105</v>
      </c>
      <c r="O640">
        <v>4</v>
      </c>
      <c r="P640" t="str">
        <f>IF(Table1[[#This Row],[Delivery Delay]]&gt;0,"Late","On Time")</f>
        <v>Late</v>
      </c>
      <c r="Q640">
        <v>60.069912302026232</v>
      </c>
      <c r="R640">
        <v>0</v>
      </c>
      <c r="S640">
        <v>1.2805591680626145E-3</v>
      </c>
      <c r="T640">
        <v>0.83</v>
      </c>
      <c r="U640">
        <v>0</v>
      </c>
      <c r="V640">
        <v>24.938416775041876</v>
      </c>
    </row>
    <row r="641" spans="1:22" x14ac:dyDescent="0.35">
      <c r="A641" t="s">
        <v>105</v>
      </c>
      <c r="B641" t="s">
        <v>12</v>
      </c>
      <c r="C641" t="s">
        <v>11</v>
      </c>
      <c r="D641">
        <v>0.74</v>
      </c>
      <c r="E641" t="s">
        <v>35</v>
      </c>
      <c r="F641" t="s">
        <v>34</v>
      </c>
      <c r="G641">
        <v>1</v>
      </c>
      <c r="H641">
        <v>480.99400000000003</v>
      </c>
      <c r="I641" t="s">
        <v>50</v>
      </c>
      <c r="J641" s="1">
        <v>44982</v>
      </c>
      <c r="K641">
        <v>71.565113910148597</v>
      </c>
      <c r="L641" s="1">
        <v>44997</v>
      </c>
      <c r="M641" s="1">
        <v>45003</v>
      </c>
      <c r="N641">
        <v>715.65113910148602</v>
      </c>
      <c r="O641">
        <v>6</v>
      </c>
      <c r="P641" t="str">
        <f>IF(Table1[[#This Row],[Delivery Delay]]&gt;0,"Late","On Time")</f>
        <v>Late</v>
      </c>
      <c r="Q641">
        <v>71.565113910148597</v>
      </c>
      <c r="R641">
        <v>0.69746271210526167</v>
      </c>
      <c r="S641">
        <v>1.3973288734725128E-3</v>
      </c>
      <c r="T641">
        <v>0.74</v>
      </c>
      <c r="U641">
        <v>0</v>
      </c>
      <c r="V641">
        <v>36.191174108309411</v>
      </c>
    </row>
    <row r="642" spans="1:22" x14ac:dyDescent="0.35">
      <c r="A642" t="s">
        <v>106</v>
      </c>
      <c r="B642" t="s">
        <v>14</v>
      </c>
      <c r="C642" t="s">
        <v>5</v>
      </c>
      <c r="D642">
        <v>0.64</v>
      </c>
      <c r="E642" t="s">
        <v>38</v>
      </c>
      <c r="F642" t="s">
        <v>34</v>
      </c>
      <c r="G642">
        <v>1</v>
      </c>
      <c r="H642">
        <v>38.555499999999903</v>
      </c>
      <c r="I642" t="s">
        <v>48</v>
      </c>
      <c r="J642" s="1">
        <v>44966</v>
      </c>
      <c r="K642">
        <v>57.476374674558002</v>
      </c>
      <c r="L642" s="1">
        <v>44990</v>
      </c>
      <c r="M642" s="1">
        <v>44987</v>
      </c>
      <c r="N642">
        <v>862.14562011836995</v>
      </c>
      <c r="O642">
        <v>-3</v>
      </c>
      <c r="P642" t="str">
        <f>IF(Table1[[#This Row],[Delivery Delay]]&gt;0,"Late","On Time")</f>
        <v>On Time</v>
      </c>
      <c r="Q642">
        <v>57.476374674557995</v>
      </c>
      <c r="R642">
        <v>0.10126052020259696</v>
      </c>
      <c r="S642">
        <v>1.1598968627396183E-3</v>
      </c>
      <c r="T642">
        <v>0.64</v>
      </c>
      <c r="U642">
        <v>0</v>
      </c>
      <c r="V642">
        <v>21.260007309934128</v>
      </c>
    </row>
    <row r="643" spans="1:22" x14ac:dyDescent="0.35">
      <c r="A643" t="s">
        <v>108</v>
      </c>
      <c r="B643" t="s">
        <v>8</v>
      </c>
      <c r="C643" t="s">
        <v>5</v>
      </c>
      <c r="D643">
        <v>0.96</v>
      </c>
      <c r="E643" t="s">
        <v>36</v>
      </c>
      <c r="F643" t="s">
        <v>34</v>
      </c>
      <c r="G643">
        <v>1</v>
      </c>
      <c r="H643">
        <v>169.78800000000001</v>
      </c>
      <c r="I643" t="s">
        <v>48</v>
      </c>
      <c r="J643" s="1">
        <v>44509</v>
      </c>
      <c r="K643">
        <v>45.7775549235865</v>
      </c>
      <c r="L643" s="1">
        <v>44519</v>
      </c>
      <c r="M643" s="1">
        <v>44520</v>
      </c>
      <c r="N643">
        <v>549.33065908303797</v>
      </c>
      <c r="O643">
        <v>1</v>
      </c>
      <c r="P643" t="str">
        <f>IF(Table1[[#This Row],[Delivery Delay]]&gt;0,"Late","On Time")</f>
        <v>Late</v>
      </c>
      <c r="Q643">
        <v>45.7775549235865</v>
      </c>
      <c r="R643">
        <v>0.51678293582672852</v>
      </c>
      <c r="S643">
        <v>1.8203972115250859E-3</v>
      </c>
      <c r="T643">
        <v>0.96</v>
      </c>
      <c r="U643">
        <v>0</v>
      </c>
      <c r="V643">
        <v>39.190270632880321</v>
      </c>
    </row>
    <row r="644" spans="1:22" x14ac:dyDescent="0.35">
      <c r="A644" t="s">
        <v>107</v>
      </c>
      <c r="B644" t="s">
        <v>8</v>
      </c>
      <c r="C644" t="s">
        <v>9</v>
      </c>
      <c r="D644">
        <v>0.65</v>
      </c>
      <c r="E644" t="s">
        <v>37</v>
      </c>
      <c r="F644" t="s">
        <v>34</v>
      </c>
      <c r="G644">
        <v>1</v>
      </c>
      <c r="H644">
        <v>39.680999999999997</v>
      </c>
      <c r="I644" t="s">
        <v>50</v>
      </c>
      <c r="J644" s="1">
        <v>44595</v>
      </c>
      <c r="K644">
        <v>24.787986948042601</v>
      </c>
      <c r="L644" s="1">
        <v>44611</v>
      </c>
      <c r="M644" s="1">
        <v>44617</v>
      </c>
      <c r="N644">
        <v>247.87986948042601</v>
      </c>
      <c r="O644">
        <v>6</v>
      </c>
      <c r="P644" t="str">
        <f>IF(Table1[[#This Row],[Delivery Delay]]&gt;0,"Late","On Time")</f>
        <v>Late</v>
      </c>
      <c r="Q644">
        <v>24.787986948042601</v>
      </c>
      <c r="R644">
        <v>0.43201489368651402</v>
      </c>
      <c r="S644">
        <v>4.0342122258498515E-3</v>
      </c>
      <c r="T644">
        <v>0.65</v>
      </c>
      <c r="U644">
        <v>0</v>
      </c>
      <c r="V644">
        <v>28.261324240505775</v>
      </c>
    </row>
    <row r="645" spans="1:22" x14ac:dyDescent="0.35">
      <c r="A645" t="s">
        <v>100</v>
      </c>
      <c r="B645" t="s">
        <v>14</v>
      </c>
      <c r="C645" t="s">
        <v>9</v>
      </c>
      <c r="D645">
        <v>0.97</v>
      </c>
      <c r="E645" t="s">
        <v>36</v>
      </c>
      <c r="F645" t="s">
        <v>34</v>
      </c>
      <c r="G645">
        <v>1</v>
      </c>
      <c r="H645">
        <v>838.00980000000004</v>
      </c>
      <c r="I645" t="s">
        <v>48</v>
      </c>
      <c r="J645" s="1">
        <v>44576</v>
      </c>
      <c r="K645">
        <v>64.944238720595095</v>
      </c>
      <c r="L645" s="1">
        <v>44594</v>
      </c>
      <c r="M645" s="1">
        <v>44594</v>
      </c>
      <c r="N645">
        <v>389.66543232356997</v>
      </c>
      <c r="O645">
        <v>0</v>
      </c>
      <c r="P645" t="str">
        <f>IF(Table1[[#This Row],[Delivery Delay]]&gt;0,"Late","On Time")</f>
        <v>On Time</v>
      </c>
      <c r="Q645">
        <v>64.944238720594996</v>
      </c>
      <c r="R645">
        <v>0.82904795739020343</v>
      </c>
      <c r="S645">
        <v>2.5663041087247919E-3</v>
      </c>
      <c r="T645">
        <v>0.97</v>
      </c>
      <c r="U645">
        <v>0</v>
      </c>
      <c r="V645">
        <v>45.757948271065814</v>
      </c>
    </row>
    <row r="646" spans="1:22" x14ac:dyDescent="0.35">
      <c r="A646" t="s">
        <v>101</v>
      </c>
      <c r="B646" t="s">
        <v>10</v>
      </c>
      <c r="C646" t="s">
        <v>9</v>
      </c>
      <c r="D646">
        <v>0.77</v>
      </c>
      <c r="E646" t="s">
        <v>38</v>
      </c>
      <c r="F646" t="s">
        <v>34</v>
      </c>
      <c r="G646">
        <v>1</v>
      </c>
      <c r="H646">
        <v>-146.7894</v>
      </c>
      <c r="I646" t="s">
        <v>49</v>
      </c>
      <c r="J646" s="1">
        <v>44200</v>
      </c>
      <c r="K646">
        <v>44.180562703579398</v>
      </c>
      <c r="L646" s="1">
        <v>44222</v>
      </c>
      <c r="M646" s="1">
        <v>44227</v>
      </c>
      <c r="N646">
        <v>441.80562703579398</v>
      </c>
      <c r="O646">
        <v>5</v>
      </c>
      <c r="P646" t="str">
        <f>IF(Table1[[#This Row],[Delivery Delay]]&gt;0,"Late","On Time")</f>
        <v>Late</v>
      </c>
      <c r="Q646">
        <v>44.180562703579398</v>
      </c>
      <c r="R646">
        <v>0</v>
      </c>
      <c r="S646">
        <v>2.2634388038678885E-3</v>
      </c>
      <c r="T646">
        <v>0.77</v>
      </c>
      <c r="U646">
        <v>0</v>
      </c>
      <c r="V646">
        <v>23.167903164116037</v>
      </c>
    </row>
    <row r="647" spans="1:22" x14ac:dyDescent="0.35">
      <c r="A647" t="s">
        <v>102</v>
      </c>
      <c r="B647" t="s">
        <v>15</v>
      </c>
      <c r="C647" t="s">
        <v>7</v>
      </c>
      <c r="D647">
        <v>0.67</v>
      </c>
      <c r="E647" t="s">
        <v>37</v>
      </c>
      <c r="F647" t="s">
        <v>34</v>
      </c>
      <c r="G647">
        <v>1</v>
      </c>
      <c r="H647">
        <v>478.7</v>
      </c>
      <c r="I647" t="s">
        <v>47</v>
      </c>
      <c r="J647" s="1">
        <v>45107</v>
      </c>
      <c r="K647">
        <v>75.245397952022401</v>
      </c>
      <c r="L647" s="1">
        <v>45119</v>
      </c>
      <c r="M647" s="1">
        <v>45124</v>
      </c>
      <c r="N647">
        <v>752.45397952022404</v>
      </c>
      <c r="O647">
        <v>5</v>
      </c>
      <c r="P647" t="str">
        <f>IF(Table1[[#This Row],[Delivery Delay]]&gt;0,"Late","On Time")</f>
        <v>Late</v>
      </c>
      <c r="Q647">
        <v>75.245397952022401</v>
      </c>
      <c r="R647">
        <v>0.61561213991769548</v>
      </c>
      <c r="S647">
        <v>1.328984930929085E-3</v>
      </c>
      <c r="T647">
        <v>0.67</v>
      </c>
      <c r="U647">
        <v>0</v>
      </c>
      <c r="V647">
        <v>32.452112346281787</v>
      </c>
    </row>
    <row r="648" spans="1:22" x14ac:dyDescent="0.35">
      <c r="A648" t="s">
        <v>99</v>
      </c>
      <c r="B648" t="s">
        <v>13</v>
      </c>
      <c r="C648" t="s">
        <v>9</v>
      </c>
      <c r="D648">
        <v>0.81</v>
      </c>
      <c r="E648" t="s">
        <v>35</v>
      </c>
      <c r="F648" t="s">
        <v>34</v>
      </c>
      <c r="G648">
        <v>1</v>
      </c>
      <c r="H648">
        <v>226.23400000000001</v>
      </c>
      <c r="I648" t="s">
        <v>50</v>
      </c>
      <c r="J648" s="1">
        <v>45297</v>
      </c>
      <c r="K648">
        <v>69.125607262840603</v>
      </c>
      <c r="L648" s="1">
        <v>45312</v>
      </c>
      <c r="M648" s="1">
        <v>45313</v>
      </c>
      <c r="N648">
        <v>691.25607262840595</v>
      </c>
      <c r="O648">
        <v>1</v>
      </c>
      <c r="P648" t="str">
        <f>IF(Table1[[#This Row],[Delivery Delay]]&gt;0,"Late","On Time")</f>
        <v>Late</v>
      </c>
      <c r="Q648">
        <v>69.125607262840589</v>
      </c>
      <c r="R648">
        <v>0.20091222822756682</v>
      </c>
      <c r="S648">
        <v>1.4466419024684121E-3</v>
      </c>
      <c r="T648">
        <v>0.81</v>
      </c>
      <c r="U648">
        <v>0</v>
      </c>
      <c r="V648">
        <v>28.361643821625389</v>
      </c>
    </row>
    <row r="649" spans="1:22" x14ac:dyDescent="0.35">
      <c r="A649" t="s">
        <v>103</v>
      </c>
      <c r="B649" t="s">
        <v>12</v>
      </c>
      <c r="C649" t="s">
        <v>5</v>
      </c>
      <c r="D649">
        <v>0.94</v>
      </c>
      <c r="E649" t="s">
        <v>36</v>
      </c>
      <c r="F649" t="s">
        <v>34</v>
      </c>
      <c r="G649">
        <v>1</v>
      </c>
      <c r="H649">
        <v>524.8655</v>
      </c>
      <c r="I649" t="s">
        <v>47</v>
      </c>
      <c r="J649" s="1">
        <v>44779</v>
      </c>
      <c r="K649">
        <v>23.727954382872799</v>
      </c>
      <c r="L649" s="1">
        <v>44791</v>
      </c>
      <c r="M649" s="1">
        <v>44793</v>
      </c>
      <c r="N649">
        <v>213.551589445855</v>
      </c>
      <c r="O649">
        <v>2</v>
      </c>
      <c r="P649" t="str">
        <f>IF(Table1[[#This Row],[Delivery Delay]]&gt;0,"Late","On Time")</f>
        <v>Late</v>
      </c>
      <c r="Q649">
        <v>23.727954382872777</v>
      </c>
      <c r="R649">
        <v>0.58359532359202126</v>
      </c>
      <c r="S649">
        <v>4.6827092347797548E-3</v>
      </c>
      <c r="T649">
        <v>0.94</v>
      </c>
      <c r="U649">
        <v>0</v>
      </c>
      <c r="V649">
        <v>40.012387748883818</v>
      </c>
    </row>
    <row r="650" spans="1:22" x14ac:dyDescent="0.35">
      <c r="A650" t="s">
        <v>104</v>
      </c>
      <c r="B650" t="s">
        <v>10</v>
      </c>
      <c r="C650" t="s">
        <v>11</v>
      </c>
      <c r="D650">
        <v>0.89</v>
      </c>
      <c r="E650" t="s">
        <v>35</v>
      </c>
      <c r="F650" t="s">
        <v>39</v>
      </c>
      <c r="G650">
        <v>0</v>
      </c>
      <c r="H650">
        <v>69.700399999999902</v>
      </c>
      <c r="I650" t="s">
        <v>51</v>
      </c>
      <c r="J650" s="1">
        <v>44250</v>
      </c>
      <c r="K650">
        <v>64.979938799469096</v>
      </c>
      <c r="L650" s="1">
        <v>44264</v>
      </c>
      <c r="M650" s="1">
        <v>44270</v>
      </c>
      <c r="N650">
        <v>974.69908199203701</v>
      </c>
      <c r="O650">
        <v>6</v>
      </c>
      <c r="P650" t="str">
        <f>IF(Table1[[#This Row],[Delivery Delay]]&gt;0,"Late","On Time")</f>
        <v>Late</v>
      </c>
      <c r="Q650">
        <v>64.979938799469139</v>
      </c>
      <c r="R650">
        <v>5.6396453953732766E-2</v>
      </c>
      <c r="S650">
        <v>1.0259576709113693E-3</v>
      </c>
      <c r="T650">
        <v>0.89</v>
      </c>
      <c r="U650">
        <v>1</v>
      </c>
      <c r="V650">
        <v>47.858707809202002</v>
      </c>
    </row>
    <row r="651" spans="1:22" x14ac:dyDescent="0.35">
      <c r="A651" t="s">
        <v>105</v>
      </c>
      <c r="B651" t="s">
        <v>12</v>
      </c>
      <c r="C651" t="s">
        <v>5</v>
      </c>
      <c r="D651">
        <v>0.91</v>
      </c>
      <c r="E651" t="s">
        <v>37</v>
      </c>
      <c r="F651" t="s">
        <v>34</v>
      </c>
      <c r="G651">
        <v>1</v>
      </c>
      <c r="H651">
        <v>151.04249999999999</v>
      </c>
      <c r="I651" t="s">
        <v>49</v>
      </c>
      <c r="J651" s="1">
        <v>44247</v>
      </c>
      <c r="K651">
        <v>45.233207855426301</v>
      </c>
      <c r="L651" s="1">
        <v>44261</v>
      </c>
      <c r="M651" s="1">
        <v>44261</v>
      </c>
      <c r="N651">
        <v>271.399247132558</v>
      </c>
      <c r="O651">
        <v>0</v>
      </c>
      <c r="P651" t="str">
        <f>IF(Table1[[#This Row],[Delivery Delay]]&gt;0,"Late","On Time")</f>
        <v>On Time</v>
      </c>
      <c r="Q651">
        <v>45.233207855426336</v>
      </c>
      <c r="R651">
        <v>0.56350205657684871</v>
      </c>
      <c r="S651">
        <v>3.6846085999331295E-3</v>
      </c>
      <c r="T651">
        <v>0.91</v>
      </c>
      <c r="U651">
        <v>0</v>
      </c>
      <c r="V651">
        <v>38.680579389534969</v>
      </c>
    </row>
    <row r="652" spans="1:22" x14ac:dyDescent="0.35">
      <c r="A652" t="s">
        <v>106</v>
      </c>
      <c r="B652" t="s">
        <v>13</v>
      </c>
      <c r="C652" t="s">
        <v>7</v>
      </c>
      <c r="D652">
        <v>0.86</v>
      </c>
      <c r="E652" t="s">
        <v>35</v>
      </c>
      <c r="F652" t="s">
        <v>34</v>
      </c>
      <c r="G652">
        <v>1</v>
      </c>
      <c r="H652">
        <v>21.625200000000099</v>
      </c>
      <c r="I652" t="s">
        <v>45</v>
      </c>
      <c r="J652" s="1">
        <v>44645</v>
      </c>
      <c r="K652">
        <v>51.294493241617303</v>
      </c>
      <c r="L652" s="1">
        <v>44663</v>
      </c>
      <c r="M652" s="1">
        <v>44660</v>
      </c>
      <c r="N652">
        <v>461.650439174555</v>
      </c>
      <c r="O652">
        <v>-3</v>
      </c>
      <c r="P652" t="str">
        <f>IF(Table1[[#This Row],[Delivery Delay]]&gt;0,"Late","On Time")</f>
        <v>On Time</v>
      </c>
      <c r="Q652">
        <v>51.294493241617225</v>
      </c>
      <c r="R652">
        <v>2.2792033601839554E-2</v>
      </c>
      <c r="S652">
        <v>2.1661411213818628E-3</v>
      </c>
      <c r="T652">
        <v>0.86</v>
      </c>
      <c r="U652">
        <v>0</v>
      </c>
      <c r="V652">
        <v>26.320824905678247</v>
      </c>
    </row>
    <row r="653" spans="1:22" x14ac:dyDescent="0.35">
      <c r="A653" t="s">
        <v>108</v>
      </c>
      <c r="B653" t="s">
        <v>15</v>
      </c>
      <c r="C653" t="s">
        <v>5</v>
      </c>
      <c r="D653">
        <v>0.87</v>
      </c>
      <c r="E653" t="s">
        <v>35</v>
      </c>
      <c r="F653" t="s">
        <v>34</v>
      </c>
      <c r="G653">
        <v>1</v>
      </c>
      <c r="H653">
        <v>79.14</v>
      </c>
      <c r="I653" t="s">
        <v>49</v>
      </c>
      <c r="J653" s="1">
        <v>44971</v>
      </c>
      <c r="K653">
        <v>19.994809969933002</v>
      </c>
      <c r="L653" s="1">
        <v>44994</v>
      </c>
      <c r="M653" s="1">
        <v>44998</v>
      </c>
      <c r="N653">
        <v>199.94809969932999</v>
      </c>
      <c r="O653">
        <v>4</v>
      </c>
      <c r="P653" t="str">
        <f>IF(Table1[[#This Row],[Delivery Delay]]&gt;0,"Late","On Time")</f>
        <v>Late</v>
      </c>
      <c r="Q653">
        <v>19.994809969932998</v>
      </c>
      <c r="R653">
        <v>0.27667459096629843</v>
      </c>
      <c r="S653">
        <v>5.0012978443092996E-3</v>
      </c>
      <c r="T653">
        <v>0.87</v>
      </c>
      <c r="U653">
        <v>0</v>
      </c>
      <c r="V653">
        <v>31.783530754655249</v>
      </c>
    </row>
    <row r="654" spans="1:22" x14ac:dyDescent="0.35">
      <c r="A654" t="s">
        <v>107</v>
      </c>
      <c r="B654" t="s">
        <v>8</v>
      </c>
      <c r="C654" t="s">
        <v>9</v>
      </c>
      <c r="D654">
        <v>0.93</v>
      </c>
      <c r="E654" t="s">
        <v>37</v>
      </c>
      <c r="F654" t="s">
        <v>39</v>
      </c>
      <c r="G654">
        <v>0</v>
      </c>
      <c r="H654">
        <v>142.69289999999901</v>
      </c>
      <c r="I654" t="s">
        <v>50</v>
      </c>
      <c r="J654" s="1">
        <v>45372</v>
      </c>
      <c r="K654">
        <v>35.390010959707901</v>
      </c>
      <c r="L654" s="1">
        <v>45395</v>
      </c>
      <c r="M654" s="1">
        <v>45393</v>
      </c>
      <c r="N654">
        <v>141.56004383883101</v>
      </c>
      <c r="O654">
        <v>-2</v>
      </c>
      <c r="P654" t="str">
        <f>IF(Table1[[#This Row],[Delivery Delay]]&gt;0,"Late","On Time")</f>
        <v>On Time</v>
      </c>
      <c r="Q654">
        <v>35.390010959707752</v>
      </c>
      <c r="R654">
        <v>0.24042899249510655</v>
      </c>
      <c r="S654">
        <v>7.064140225461645E-3</v>
      </c>
      <c r="T654">
        <v>0.93</v>
      </c>
      <c r="U654">
        <v>1</v>
      </c>
      <c r="V654">
        <v>52.920504056665976</v>
      </c>
    </row>
    <row r="655" spans="1:22" x14ac:dyDescent="0.35">
      <c r="A655" t="s">
        <v>100</v>
      </c>
      <c r="B655" t="s">
        <v>10</v>
      </c>
      <c r="C655" t="s">
        <v>7</v>
      </c>
      <c r="D655">
        <v>0.7</v>
      </c>
      <c r="E655" t="s">
        <v>38</v>
      </c>
      <c r="F655" t="s">
        <v>34</v>
      </c>
      <c r="G655">
        <v>1</v>
      </c>
      <c r="H655">
        <v>129.374</v>
      </c>
      <c r="I655" t="s">
        <v>45</v>
      </c>
      <c r="J655" s="1">
        <v>44613</v>
      </c>
      <c r="K655">
        <v>23.298906168713401</v>
      </c>
      <c r="L655" s="1">
        <v>44633</v>
      </c>
      <c r="M655" s="1">
        <v>44637</v>
      </c>
      <c r="N655">
        <v>326.18468636198799</v>
      </c>
      <c r="O655">
        <v>4</v>
      </c>
      <c r="P655" t="str">
        <f>IF(Table1[[#This Row],[Delivery Delay]]&gt;0,"Late","On Time")</f>
        <v>Late</v>
      </c>
      <c r="Q655">
        <v>23.298906168713426</v>
      </c>
      <c r="R655">
        <v>0.46451524878462119</v>
      </c>
      <c r="S655">
        <v>3.0657478471881297E-3</v>
      </c>
      <c r="T655">
        <v>0.7</v>
      </c>
      <c r="U655">
        <v>0</v>
      </c>
      <c r="V655">
        <v>30.382277411108067</v>
      </c>
    </row>
    <row r="656" spans="1:22" x14ac:dyDescent="0.35">
      <c r="A656" t="s">
        <v>101</v>
      </c>
      <c r="B656" t="s">
        <v>6</v>
      </c>
      <c r="C656" t="s">
        <v>11</v>
      </c>
      <c r="D656">
        <v>0.79</v>
      </c>
      <c r="E656" t="s">
        <v>35</v>
      </c>
      <c r="F656" t="s">
        <v>39</v>
      </c>
      <c r="G656">
        <v>0</v>
      </c>
      <c r="H656">
        <v>-39.3629999999999</v>
      </c>
      <c r="I656" t="s">
        <v>51</v>
      </c>
      <c r="J656" s="1">
        <v>45318</v>
      </c>
      <c r="K656">
        <v>3.5458572532155199</v>
      </c>
      <c r="L656" s="1">
        <v>45339</v>
      </c>
      <c r="M656" s="1">
        <v>45338</v>
      </c>
      <c r="N656">
        <v>39.004429785370696</v>
      </c>
      <c r="O656">
        <v>-1</v>
      </c>
      <c r="P656" t="str">
        <f>IF(Table1[[#This Row],[Delivery Delay]]&gt;0,"Late","On Time")</f>
        <v>On Time</v>
      </c>
      <c r="Q656">
        <v>3.5458572532155177</v>
      </c>
      <c r="R656">
        <v>0</v>
      </c>
      <c r="S656">
        <v>2.5638113555375389E-2</v>
      </c>
      <c r="T656">
        <v>0.79</v>
      </c>
      <c r="U656">
        <v>1</v>
      </c>
      <c r="V656">
        <v>44.46914340666126</v>
      </c>
    </row>
    <row r="657" spans="1:22" x14ac:dyDescent="0.35">
      <c r="A657" t="s">
        <v>102</v>
      </c>
      <c r="B657" t="s">
        <v>6</v>
      </c>
      <c r="C657" t="s">
        <v>9</v>
      </c>
      <c r="D657">
        <v>0.69</v>
      </c>
      <c r="E657" t="s">
        <v>37</v>
      </c>
      <c r="F657" t="s">
        <v>39</v>
      </c>
      <c r="G657">
        <v>0</v>
      </c>
      <c r="H657">
        <v>-0.71319999999999995</v>
      </c>
      <c r="I657" t="s">
        <v>50</v>
      </c>
      <c r="J657" s="1">
        <v>45291</v>
      </c>
      <c r="K657">
        <v>74.781659052556506</v>
      </c>
      <c r="L657" s="1">
        <v>45313</v>
      </c>
      <c r="M657" s="1">
        <v>45316</v>
      </c>
      <c r="N657">
        <v>972.16156768323503</v>
      </c>
      <c r="O657">
        <v>3</v>
      </c>
      <c r="P657" t="str">
        <f>IF(Table1[[#This Row],[Delivery Delay]]&gt;0,"Late","On Time")</f>
        <v>Late</v>
      </c>
      <c r="Q657">
        <v>74.781659052556535</v>
      </c>
      <c r="R657">
        <v>0</v>
      </c>
      <c r="S657">
        <v>1.0286356026016404E-3</v>
      </c>
      <c r="T657">
        <v>0.69</v>
      </c>
      <c r="U657">
        <v>1</v>
      </c>
      <c r="V657">
        <v>40.730859068078054</v>
      </c>
    </row>
    <row r="658" spans="1:22" x14ac:dyDescent="0.35">
      <c r="A658" t="s">
        <v>99</v>
      </c>
      <c r="B658" t="s">
        <v>13</v>
      </c>
      <c r="C658" t="s">
        <v>7</v>
      </c>
      <c r="D658">
        <v>0.99</v>
      </c>
      <c r="E658" t="s">
        <v>38</v>
      </c>
      <c r="F658" t="s">
        <v>34</v>
      </c>
      <c r="G658">
        <v>1</v>
      </c>
      <c r="H658">
        <v>141.33150000000001</v>
      </c>
      <c r="I658" t="s">
        <v>46</v>
      </c>
      <c r="J658" s="1">
        <v>45303</v>
      </c>
      <c r="K658">
        <v>36.775118988209996</v>
      </c>
      <c r="L658" s="1">
        <v>45317</v>
      </c>
      <c r="M658" s="1">
        <v>45314</v>
      </c>
      <c r="N658">
        <v>441.30142785852001</v>
      </c>
      <c r="O658">
        <v>-3</v>
      </c>
      <c r="P658" t="str">
        <f>IF(Table1[[#This Row],[Delivery Delay]]&gt;0,"Late","On Time")</f>
        <v>On Time</v>
      </c>
      <c r="Q658">
        <v>36.775118988210004</v>
      </c>
      <c r="R658">
        <v>0.1986607095793422</v>
      </c>
      <c r="S658">
        <v>2.2660248457673179E-3</v>
      </c>
      <c r="T658">
        <v>0.99</v>
      </c>
      <c r="U658">
        <v>0</v>
      </c>
      <c r="V658">
        <v>33.741194936959864</v>
      </c>
    </row>
    <row r="659" spans="1:22" x14ac:dyDescent="0.35">
      <c r="A659" t="s">
        <v>103</v>
      </c>
      <c r="B659" t="s">
        <v>6</v>
      </c>
      <c r="C659" t="s">
        <v>11</v>
      </c>
      <c r="D659">
        <v>0.97</v>
      </c>
      <c r="E659" t="s">
        <v>35</v>
      </c>
      <c r="F659" t="s">
        <v>34</v>
      </c>
      <c r="G659">
        <v>1</v>
      </c>
      <c r="H659">
        <v>418.0104</v>
      </c>
      <c r="I659" t="s">
        <v>47</v>
      </c>
      <c r="J659" s="1">
        <v>44879</v>
      </c>
      <c r="K659">
        <v>14.742036885854301</v>
      </c>
      <c r="L659" s="1">
        <v>44895</v>
      </c>
      <c r="M659" s="1">
        <v>44893</v>
      </c>
      <c r="N659">
        <v>147.42036885854299</v>
      </c>
      <c r="O659">
        <v>-2</v>
      </c>
      <c r="P659" t="str">
        <f>IF(Table1[[#This Row],[Delivery Delay]]&gt;0,"Late","On Time")</f>
        <v>On Time</v>
      </c>
      <c r="Q659">
        <v>14.742036885854299</v>
      </c>
      <c r="R659">
        <v>0.25122622996220162</v>
      </c>
      <c r="S659">
        <v>6.7833231441684193E-3</v>
      </c>
      <c r="T659">
        <v>0.97</v>
      </c>
      <c r="U659">
        <v>0</v>
      </c>
      <c r="V659">
        <v>34.328024293569086</v>
      </c>
    </row>
    <row r="660" spans="1:22" x14ac:dyDescent="0.35">
      <c r="A660" t="s">
        <v>104</v>
      </c>
      <c r="B660" t="s">
        <v>8</v>
      </c>
      <c r="C660" t="s">
        <v>9</v>
      </c>
      <c r="D660">
        <v>0.62</v>
      </c>
      <c r="E660" t="s">
        <v>35</v>
      </c>
      <c r="F660" t="s">
        <v>39</v>
      </c>
      <c r="G660">
        <v>0</v>
      </c>
      <c r="H660">
        <v>440.29250000000002</v>
      </c>
      <c r="I660" t="s">
        <v>51</v>
      </c>
      <c r="J660" s="1">
        <v>45385</v>
      </c>
      <c r="K660">
        <v>32.236986960613301</v>
      </c>
      <c r="L660" s="1">
        <v>45409</v>
      </c>
      <c r="M660" s="1">
        <v>45406</v>
      </c>
      <c r="N660">
        <v>548.02877833042703</v>
      </c>
      <c r="O660">
        <v>-3</v>
      </c>
      <c r="P660" t="str">
        <f>IF(Table1[[#This Row],[Delivery Delay]]&gt;0,"Late","On Time")</f>
        <v>On Time</v>
      </c>
      <c r="Q660">
        <v>32.236986960613358</v>
      </c>
      <c r="R660">
        <v>0.73054252375796946</v>
      </c>
      <c r="S660">
        <v>1.8247216926207891E-3</v>
      </c>
      <c r="T660">
        <v>0.62</v>
      </c>
      <c r="U660">
        <v>1</v>
      </c>
      <c r="V660">
        <v>53.265592125938021</v>
      </c>
    </row>
    <row r="661" spans="1:22" x14ac:dyDescent="0.35">
      <c r="A661" t="s">
        <v>105</v>
      </c>
      <c r="B661" t="s">
        <v>13</v>
      </c>
      <c r="C661" t="s">
        <v>9</v>
      </c>
      <c r="D661">
        <v>0.88</v>
      </c>
      <c r="E661" t="s">
        <v>35</v>
      </c>
      <c r="F661" t="s">
        <v>34</v>
      </c>
      <c r="G661">
        <v>1</v>
      </c>
      <c r="H661">
        <v>907.68079999999895</v>
      </c>
      <c r="I661" t="s">
        <v>47</v>
      </c>
      <c r="J661" s="1">
        <v>45036</v>
      </c>
      <c r="K661">
        <v>40.218449791930603</v>
      </c>
      <c r="L661" s="1">
        <v>45053</v>
      </c>
      <c r="M661" s="1">
        <v>45058</v>
      </c>
      <c r="N661">
        <v>603.27674687895899</v>
      </c>
      <c r="O661">
        <v>5</v>
      </c>
      <c r="P661" t="str">
        <f>IF(Table1[[#This Row],[Delivery Delay]]&gt;0,"Late","On Time")</f>
        <v>Late</v>
      </c>
      <c r="Q661">
        <v>40.218449791930603</v>
      </c>
      <c r="R661">
        <v>0.66207640656100852</v>
      </c>
      <c r="S661">
        <v>1.6576140306641708E-3</v>
      </c>
      <c r="T661">
        <v>0.88</v>
      </c>
      <c r="U661">
        <v>0</v>
      </c>
      <c r="V661">
        <v>39.691256552140096</v>
      </c>
    </row>
    <row r="662" spans="1:22" x14ac:dyDescent="0.35">
      <c r="A662" t="s">
        <v>106</v>
      </c>
      <c r="B662" t="s">
        <v>8</v>
      </c>
      <c r="C662" t="s">
        <v>7</v>
      </c>
      <c r="D662">
        <v>0.96</v>
      </c>
      <c r="E662" t="s">
        <v>35</v>
      </c>
      <c r="F662" t="s">
        <v>34</v>
      </c>
      <c r="G662">
        <v>1</v>
      </c>
      <c r="H662">
        <v>669.44</v>
      </c>
      <c r="I662" t="s">
        <v>48</v>
      </c>
      <c r="J662" s="1">
        <v>44597</v>
      </c>
      <c r="K662">
        <v>43.185315285176003</v>
      </c>
      <c r="L662" s="1">
        <v>44621</v>
      </c>
      <c r="M662" s="1">
        <v>44626</v>
      </c>
      <c r="N662">
        <v>518.22378342211198</v>
      </c>
      <c r="O662">
        <v>5</v>
      </c>
      <c r="P662" t="str">
        <f>IF(Table1[[#This Row],[Delivery Delay]]&gt;0,"Late","On Time")</f>
        <v>Late</v>
      </c>
      <c r="Q662">
        <v>43.185315285175996</v>
      </c>
      <c r="R662">
        <v>0.39286384976525823</v>
      </c>
      <c r="S662">
        <v>1.9296682861532502E-3</v>
      </c>
      <c r="T662">
        <v>0.96</v>
      </c>
      <c r="U662">
        <v>0</v>
      </c>
      <c r="V662">
        <v>36.715167043889764</v>
      </c>
    </row>
    <row r="663" spans="1:22" x14ac:dyDescent="0.35">
      <c r="A663" t="s">
        <v>108</v>
      </c>
      <c r="B663" t="s">
        <v>15</v>
      </c>
      <c r="C663" t="s">
        <v>9</v>
      </c>
      <c r="D663">
        <v>0.67</v>
      </c>
      <c r="E663" t="s">
        <v>37</v>
      </c>
      <c r="F663" t="s">
        <v>39</v>
      </c>
      <c r="G663">
        <v>0</v>
      </c>
      <c r="H663">
        <v>801.96799999999905</v>
      </c>
      <c r="I663" t="s">
        <v>46</v>
      </c>
      <c r="J663" s="1">
        <v>44252</v>
      </c>
      <c r="K663">
        <v>18.653394606895599</v>
      </c>
      <c r="L663" s="1">
        <v>44267</v>
      </c>
      <c r="M663" s="1">
        <v>44268</v>
      </c>
      <c r="N663">
        <v>279.80091910343498</v>
      </c>
      <c r="O663">
        <v>1</v>
      </c>
      <c r="P663" t="str">
        <f>IF(Table1[[#This Row],[Delivery Delay]]&gt;0,"Late","On Time")</f>
        <v>Late</v>
      </c>
      <c r="Q663">
        <v>18.653394606895667</v>
      </c>
      <c r="R663">
        <v>0.65970412487825347</v>
      </c>
      <c r="S663">
        <v>3.5739696753116332E-3</v>
      </c>
      <c r="T663">
        <v>0.67</v>
      </c>
      <c r="U663">
        <v>1</v>
      </c>
      <c r="V663">
        <v>53.40130158782442</v>
      </c>
    </row>
    <row r="664" spans="1:22" x14ac:dyDescent="0.35">
      <c r="A664" t="s">
        <v>101</v>
      </c>
      <c r="B664" t="s">
        <v>12</v>
      </c>
      <c r="C664" t="s">
        <v>9</v>
      </c>
      <c r="D664">
        <v>0.82</v>
      </c>
      <c r="E664" t="s">
        <v>35</v>
      </c>
      <c r="F664" t="s">
        <v>39</v>
      </c>
      <c r="G664">
        <v>0</v>
      </c>
      <c r="H664">
        <v>168.684</v>
      </c>
      <c r="I664" t="s">
        <v>46</v>
      </c>
      <c r="J664" s="1">
        <v>44775</v>
      </c>
      <c r="K664">
        <v>47.769589858361201</v>
      </c>
      <c r="L664" s="1">
        <v>44788</v>
      </c>
      <c r="M664" s="1">
        <v>44786</v>
      </c>
      <c r="N664">
        <v>573.23507830033395</v>
      </c>
      <c r="O664">
        <v>-2</v>
      </c>
      <c r="P664" t="str">
        <f>IF(Table1[[#This Row],[Delivery Delay]]&gt;0,"Late","On Time")</f>
        <v>On Time</v>
      </c>
      <c r="Q664">
        <v>47.769589858361165</v>
      </c>
      <c r="R664">
        <v>0.28081986535349701</v>
      </c>
      <c r="S664">
        <v>1.7444850077302351E-3</v>
      </c>
      <c r="T664">
        <v>0.82</v>
      </c>
      <c r="U664">
        <v>1</v>
      </c>
      <c r="V664">
        <v>50.268731857301852</v>
      </c>
    </row>
    <row r="665" spans="1:22" x14ac:dyDescent="0.35">
      <c r="A665" t="s">
        <v>102</v>
      </c>
      <c r="B665" t="s">
        <v>15</v>
      </c>
      <c r="C665" t="s">
        <v>9</v>
      </c>
      <c r="D665">
        <v>0.96</v>
      </c>
      <c r="E665" t="s">
        <v>36</v>
      </c>
      <c r="F665" t="s">
        <v>34</v>
      </c>
      <c r="G665">
        <v>1</v>
      </c>
      <c r="H665">
        <v>533.53200000000004</v>
      </c>
      <c r="I665" t="s">
        <v>51</v>
      </c>
      <c r="J665" s="1">
        <v>44975</v>
      </c>
      <c r="K665">
        <v>56.545573131423097</v>
      </c>
      <c r="L665" s="1">
        <v>44990</v>
      </c>
      <c r="M665" s="1">
        <v>44994</v>
      </c>
      <c r="N665">
        <v>622.001304445654</v>
      </c>
      <c r="O665">
        <v>4</v>
      </c>
      <c r="P665" t="str">
        <f>IF(Table1[[#This Row],[Delivery Delay]]&gt;0,"Late","On Time")</f>
        <v>Late</v>
      </c>
      <c r="Q665">
        <v>56.54557313142309</v>
      </c>
      <c r="R665">
        <v>0.68258720216163116</v>
      </c>
      <c r="S665">
        <v>1.6077136701364793E-3</v>
      </c>
      <c r="T665">
        <v>0.96</v>
      </c>
      <c r="U665">
        <v>0</v>
      </c>
      <c r="V665">
        <v>42.499975453336717</v>
      </c>
    </row>
    <row r="666" spans="1:22" x14ac:dyDescent="0.35">
      <c r="A666" t="s">
        <v>99</v>
      </c>
      <c r="B666" t="s">
        <v>15</v>
      </c>
      <c r="C666" t="s">
        <v>11</v>
      </c>
      <c r="D666">
        <v>0.61</v>
      </c>
      <c r="E666" t="s">
        <v>37</v>
      </c>
      <c r="F666" t="s">
        <v>34</v>
      </c>
      <c r="G666">
        <v>1</v>
      </c>
      <c r="H666">
        <v>315.53640000000001</v>
      </c>
      <c r="I666" t="s">
        <v>46</v>
      </c>
      <c r="J666" s="1">
        <v>45283</v>
      </c>
      <c r="K666">
        <v>45.883242691297198</v>
      </c>
      <c r="L666" s="1">
        <v>45293</v>
      </c>
      <c r="M666" s="1">
        <v>45290</v>
      </c>
      <c r="N666">
        <v>458.83242691297198</v>
      </c>
      <c r="O666">
        <v>-3</v>
      </c>
      <c r="P666" t="str">
        <f>IF(Table1[[#This Row],[Delivery Delay]]&gt;0,"Late","On Time")</f>
        <v>On Time</v>
      </c>
      <c r="Q666">
        <v>45.883242691297198</v>
      </c>
      <c r="R666">
        <v>0.22808490632321549</v>
      </c>
      <c r="S666">
        <v>2.1794449157135809E-3</v>
      </c>
      <c r="T666">
        <v>0.61</v>
      </c>
      <c r="U666">
        <v>0</v>
      </c>
      <c r="V666">
        <v>22.927081473935718</v>
      </c>
    </row>
    <row r="667" spans="1:22" x14ac:dyDescent="0.35">
      <c r="A667" t="s">
        <v>103</v>
      </c>
      <c r="B667" t="s">
        <v>8</v>
      </c>
      <c r="C667" t="s">
        <v>5</v>
      </c>
      <c r="D667">
        <v>0.87</v>
      </c>
      <c r="E667" t="s">
        <v>38</v>
      </c>
      <c r="F667" t="s">
        <v>34</v>
      </c>
      <c r="G667">
        <v>1</v>
      </c>
      <c r="H667">
        <v>165.38200000000001</v>
      </c>
      <c r="I667" t="s">
        <v>45</v>
      </c>
      <c r="J667" s="1">
        <v>44680</v>
      </c>
      <c r="K667">
        <v>10.778791460244999</v>
      </c>
      <c r="L667" s="1">
        <v>44693</v>
      </c>
      <c r="M667" s="1">
        <v>44699</v>
      </c>
      <c r="N667">
        <v>64.672748761470203</v>
      </c>
      <c r="O667">
        <v>6</v>
      </c>
      <c r="P667" t="str">
        <f>IF(Table1[[#This Row],[Delivery Delay]]&gt;0,"Late","On Time")</f>
        <v>Late</v>
      </c>
      <c r="Q667">
        <v>10.778791460245033</v>
      </c>
      <c r="R667">
        <v>0.15669602589271503</v>
      </c>
      <c r="S667">
        <v>1.5462463234526465E-2</v>
      </c>
      <c r="T667">
        <v>0.87</v>
      </c>
      <c r="U667">
        <v>0</v>
      </c>
      <c r="V667">
        <v>29.697794414890094</v>
      </c>
    </row>
    <row r="668" spans="1:22" x14ac:dyDescent="0.35">
      <c r="A668" t="s">
        <v>104</v>
      </c>
      <c r="B668" t="s">
        <v>13</v>
      </c>
      <c r="C668" t="s">
        <v>7</v>
      </c>
      <c r="D668">
        <v>0.72</v>
      </c>
      <c r="E668" t="s">
        <v>38</v>
      </c>
      <c r="F668" t="s">
        <v>39</v>
      </c>
      <c r="G668">
        <v>0</v>
      </c>
      <c r="H668">
        <v>260.01900000000001</v>
      </c>
      <c r="I668" t="s">
        <v>46</v>
      </c>
      <c r="J668" s="1">
        <v>45177</v>
      </c>
      <c r="K668">
        <v>74.909394718544803</v>
      </c>
      <c r="L668" s="1">
        <v>45190</v>
      </c>
      <c r="M668" s="1">
        <v>45191</v>
      </c>
      <c r="N668">
        <v>824.00334190399303</v>
      </c>
      <c r="O668">
        <v>1</v>
      </c>
      <c r="P668" t="str">
        <f>IF(Table1[[#This Row],[Delivery Delay]]&gt;0,"Late","On Time")</f>
        <v>Late</v>
      </c>
      <c r="Q668">
        <v>74.909394718544817</v>
      </c>
      <c r="R668">
        <v>0.72740929729003889</v>
      </c>
      <c r="S668">
        <v>1.2135873110530574E-3</v>
      </c>
      <c r="T668">
        <v>0.72</v>
      </c>
      <c r="U668">
        <v>1</v>
      </c>
      <c r="V668">
        <v>56.184593565132367</v>
      </c>
    </row>
    <row r="669" spans="1:22" x14ac:dyDescent="0.35">
      <c r="A669" t="s">
        <v>105</v>
      </c>
      <c r="B669" t="s">
        <v>13</v>
      </c>
      <c r="C669" t="s">
        <v>7</v>
      </c>
      <c r="D669">
        <v>0.96</v>
      </c>
      <c r="E669" t="s">
        <v>36</v>
      </c>
      <c r="F669" t="s">
        <v>34</v>
      </c>
      <c r="G669">
        <v>1</v>
      </c>
      <c r="H669">
        <v>748.53269999999998</v>
      </c>
      <c r="I669" t="s">
        <v>47</v>
      </c>
      <c r="J669" s="1">
        <v>44602</v>
      </c>
      <c r="K669">
        <v>59.104152704681503</v>
      </c>
      <c r="L669" s="1">
        <v>44621</v>
      </c>
      <c r="M669" s="1">
        <v>44622</v>
      </c>
      <c r="N669">
        <v>295.52076352340703</v>
      </c>
      <c r="O669">
        <v>1</v>
      </c>
      <c r="P669" t="str">
        <f>IF(Table1[[#This Row],[Delivery Delay]]&gt;0,"Late","On Time")</f>
        <v>Late</v>
      </c>
      <c r="Q669">
        <v>59.104152704681404</v>
      </c>
      <c r="R669">
        <v>0.52616019581161033</v>
      </c>
      <c r="S669">
        <v>3.3838569854696319E-3</v>
      </c>
      <c r="T669">
        <v>0.96</v>
      </c>
      <c r="U669">
        <v>0</v>
      </c>
      <c r="V669">
        <v>39.424719625796293</v>
      </c>
    </row>
    <row r="670" spans="1:22" x14ac:dyDescent="0.35">
      <c r="A670" t="s">
        <v>106</v>
      </c>
      <c r="B670" t="s">
        <v>6</v>
      </c>
      <c r="C670" t="s">
        <v>9</v>
      </c>
      <c r="D670">
        <v>0.98</v>
      </c>
      <c r="E670" t="s">
        <v>35</v>
      </c>
      <c r="F670" t="s">
        <v>39</v>
      </c>
      <c r="G670">
        <v>0</v>
      </c>
      <c r="H670">
        <v>-11.4179999999999</v>
      </c>
      <c r="I670" t="s">
        <v>47</v>
      </c>
      <c r="J670" s="1">
        <v>44288</v>
      </c>
      <c r="K670">
        <v>20.6253786760027</v>
      </c>
      <c r="L670" s="1">
        <v>44311</v>
      </c>
      <c r="M670" s="1">
        <v>44313</v>
      </c>
      <c r="N670">
        <v>185.62840808402399</v>
      </c>
      <c r="O670">
        <v>2</v>
      </c>
      <c r="P670" t="str">
        <f>IF(Table1[[#This Row],[Delivery Delay]]&gt;0,"Late","On Time")</f>
        <v>Late</v>
      </c>
      <c r="Q670">
        <v>20.625378676002665</v>
      </c>
      <c r="R670">
        <v>0</v>
      </c>
      <c r="S670">
        <v>5.3871064796685315E-3</v>
      </c>
      <c r="T670">
        <v>0.98</v>
      </c>
      <c r="U670">
        <v>1</v>
      </c>
      <c r="V670">
        <v>49.561613194390056</v>
      </c>
    </row>
    <row r="671" spans="1:22" x14ac:dyDescent="0.35">
      <c r="A671" t="s">
        <v>108</v>
      </c>
      <c r="B671" t="s">
        <v>4</v>
      </c>
      <c r="C671" t="s">
        <v>9</v>
      </c>
      <c r="D671">
        <v>0.97</v>
      </c>
      <c r="E671" t="s">
        <v>38</v>
      </c>
      <c r="F671" t="s">
        <v>34</v>
      </c>
      <c r="G671">
        <v>1</v>
      </c>
      <c r="H671">
        <v>527.20519999999999</v>
      </c>
      <c r="I671" t="s">
        <v>50</v>
      </c>
      <c r="J671" s="1">
        <v>44653</v>
      </c>
      <c r="K671">
        <v>50.097233014505299</v>
      </c>
      <c r="L671" s="1">
        <v>44674</v>
      </c>
      <c r="M671" s="1">
        <v>44672</v>
      </c>
      <c r="N671">
        <v>651.264029188569</v>
      </c>
      <c r="O671">
        <v>-2</v>
      </c>
      <c r="P671" t="str">
        <f>IF(Table1[[#This Row],[Delivery Delay]]&gt;0,"Late","On Time")</f>
        <v>On Time</v>
      </c>
      <c r="Q671">
        <v>50.097233014505306</v>
      </c>
      <c r="R671">
        <v>0.52235502908394971</v>
      </c>
      <c r="S671">
        <v>1.5354755601133575E-3</v>
      </c>
      <c r="T671">
        <v>0.97</v>
      </c>
      <c r="U671">
        <v>0</v>
      </c>
      <c r="V671">
        <v>39.593164848482395</v>
      </c>
    </row>
    <row r="672" spans="1:22" x14ac:dyDescent="0.35">
      <c r="A672" t="s">
        <v>107</v>
      </c>
      <c r="B672" t="s">
        <v>12</v>
      </c>
      <c r="C672" t="s">
        <v>7</v>
      </c>
      <c r="D672">
        <v>0.78</v>
      </c>
      <c r="E672" t="s">
        <v>37</v>
      </c>
      <c r="F672" t="s">
        <v>39</v>
      </c>
      <c r="G672">
        <v>0</v>
      </c>
      <c r="H672">
        <v>520.61440000000005</v>
      </c>
      <c r="I672" t="s">
        <v>47</v>
      </c>
      <c r="J672" s="1">
        <v>44253</v>
      </c>
      <c r="K672">
        <v>71.138030205759193</v>
      </c>
      <c r="L672" s="1">
        <v>44273</v>
      </c>
      <c r="M672" s="1">
        <v>44270</v>
      </c>
      <c r="N672">
        <v>1067.07045308638</v>
      </c>
      <c r="O672">
        <v>-3</v>
      </c>
      <c r="P672" t="str">
        <f>IF(Table1[[#This Row],[Delivery Delay]]&gt;0,"Late","On Time")</f>
        <v>On Time</v>
      </c>
      <c r="Q672">
        <v>71.138030205758668</v>
      </c>
      <c r="R672">
        <v>0.28407049205803214</v>
      </c>
      <c r="S672">
        <v>9.3714524388489406E-4</v>
      </c>
      <c r="T672">
        <v>0.78</v>
      </c>
      <c r="U672">
        <v>1</v>
      </c>
      <c r="V672">
        <v>49.109524198477189</v>
      </c>
    </row>
    <row r="673" spans="1:22" x14ac:dyDescent="0.35">
      <c r="A673" t="s">
        <v>100</v>
      </c>
      <c r="B673" t="s">
        <v>8</v>
      </c>
      <c r="C673" t="s">
        <v>9</v>
      </c>
      <c r="D673">
        <v>0.94</v>
      </c>
      <c r="E673" t="s">
        <v>36</v>
      </c>
      <c r="F673" t="s">
        <v>34</v>
      </c>
      <c r="G673">
        <v>1</v>
      </c>
      <c r="H673">
        <v>446.5224</v>
      </c>
      <c r="I673" t="s">
        <v>50</v>
      </c>
      <c r="J673" s="1">
        <v>45199</v>
      </c>
      <c r="K673">
        <v>77.789928146591194</v>
      </c>
      <c r="L673" s="1">
        <v>45221</v>
      </c>
      <c r="M673" s="1">
        <v>45224</v>
      </c>
      <c r="N673">
        <v>1011.26906590568</v>
      </c>
      <c r="O673">
        <v>3</v>
      </c>
      <c r="P673" t="str">
        <f>IF(Table1[[#This Row],[Delivery Delay]]&gt;0,"Late","On Time")</f>
        <v>Late</v>
      </c>
      <c r="Q673">
        <v>77.789928146590768</v>
      </c>
      <c r="R673">
        <v>0.59336758613431317</v>
      </c>
      <c r="S673">
        <v>9.8885651080843893E-4</v>
      </c>
      <c r="T673">
        <v>0.94</v>
      </c>
      <c r="U673">
        <v>0</v>
      </c>
      <c r="V673">
        <v>40.097017418010516</v>
      </c>
    </row>
    <row r="674" spans="1:22" x14ac:dyDescent="0.35">
      <c r="A674" t="s">
        <v>101</v>
      </c>
      <c r="B674" t="s">
        <v>6</v>
      </c>
      <c r="C674" t="s">
        <v>11</v>
      </c>
      <c r="D674">
        <v>0.93</v>
      </c>
      <c r="E674" t="s">
        <v>36</v>
      </c>
      <c r="F674" t="s">
        <v>39</v>
      </c>
      <c r="G674">
        <v>0</v>
      </c>
      <c r="H674">
        <v>421.87319999999897</v>
      </c>
      <c r="I674" t="s">
        <v>47</v>
      </c>
      <c r="J674" s="1">
        <v>44665</v>
      </c>
      <c r="K674">
        <v>48.777375420572298</v>
      </c>
      <c r="L674" s="1">
        <v>44688</v>
      </c>
      <c r="M674" s="1">
        <v>44687</v>
      </c>
      <c r="N674">
        <v>292.66425252343299</v>
      </c>
      <c r="O674">
        <v>-1</v>
      </c>
      <c r="P674" t="str">
        <f>IF(Table1[[#This Row],[Delivery Delay]]&gt;0,"Late","On Time")</f>
        <v>On Time</v>
      </c>
      <c r="Q674">
        <v>48.777375420572163</v>
      </c>
      <c r="R674">
        <v>0.32315235345538301</v>
      </c>
      <c r="S674">
        <v>3.4168846771606728E-3</v>
      </c>
      <c r="T674">
        <v>0.93</v>
      </c>
      <c r="U674">
        <v>1</v>
      </c>
      <c r="V674">
        <v>54.465553609422493</v>
      </c>
    </row>
    <row r="675" spans="1:22" x14ac:dyDescent="0.35">
      <c r="A675" t="s">
        <v>102</v>
      </c>
      <c r="B675" t="s">
        <v>10</v>
      </c>
      <c r="C675" t="s">
        <v>7</v>
      </c>
      <c r="D675">
        <v>0.72</v>
      </c>
      <c r="E675" t="s">
        <v>35</v>
      </c>
      <c r="F675" t="s">
        <v>34</v>
      </c>
      <c r="G675">
        <v>1</v>
      </c>
      <c r="H675">
        <v>154.5164</v>
      </c>
      <c r="I675" t="s">
        <v>45</v>
      </c>
      <c r="J675" s="1">
        <v>44404</v>
      </c>
      <c r="K675">
        <v>62.199404997843097</v>
      </c>
      <c r="L675" s="1">
        <v>44418</v>
      </c>
      <c r="M675" s="1">
        <v>44419</v>
      </c>
      <c r="N675">
        <v>497.595239982745</v>
      </c>
      <c r="O675">
        <v>1</v>
      </c>
      <c r="P675" t="str">
        <f>IF(Table1[[#This Row],[Delivery Delay]]&gt;0,"Late","On Time")</f>
        <v>Late</v>
      </c>
      <c r="Q675">
        <v>62.199404997843125</v>
      </c>
      <c r="R675">
        <v>0.35819391139617285</v>
      </c>
      <c r="S675">
        <v>2.009665526612909E-3</v>
      </c>
      <c r="T675">
        <v>0.72</v>
      </c>
      <c r="U675">
        <v>0</v>
      </c>
      <c r="V675">
        <v>28.824168193721846</v>
      </c>
    </row>
    <row r="676" spans="1:22" x14ac:dyDescent="0.35">
      <c r="A676" t="s">
        <v>99</v>
      </c>
      <c r="B676" t="s">
        <v>4</v>
      </c>
      <c r="C676" t="s">
        <v>9</v>
      </c>
      <c r="D676">
        <v>0.92</v>
      </c>
      <c r="E676" t="s">
        <v>38</v>
      </c>
      <c r="F676" t="s">
        <v>39</v>
      </c>
      <c r="G676">
        <v>0</v>
      </c>
      <c r="H676">
        <v>881.79199999999901</v>
      </c>
      <c r="I676" t="s">
        <v>50</v>
      </c>
      <c r="J676" s="1">
        <v>45290</v>
      </c>
      <c r="K676">
        <v>7.6484093959715302</v>
      </c>
      <c r="L676" s="1">
        <v>45314</v>
      </c>
      <c r="M676" s="1">
        <v>45320</v>
      </c>
      <c r="N676">
        <v>68.835684563743698</v>
      </c>
      <c r="O676">
        <v>6</v>
      </c>
      <c r="P676" t="str">
        <f>IF(Table1[[#This Row],[Delivery Delay]]&gt;0,"Late","On Time")</f>
        <v>Late</v>
      </c>
      <c r="Q676">
        <v>7.6484093959715223</v>
      </c>
      <c r="R676">
        <v>0.50939071280686132</v>
      </c>
      <c r="S676">
        <v>1.4527348806620396E-2</v>
      </c>
      <c r="T676">
        <v>0.92</v>
      </c>
      <c r="U676">
        <v>1</v>
      </c>
      <c r="V676">
        <v>58.223634720335852</v>
      </c>
    </row>
    <row r="677" spans="1:22" x14ac:dyDescent="0.35">
      <c r="A677" t="s">
        <v>103</v>
      </c>
      <c r="B677" t="s">
        <v>4</v>
      </c>
      <c r="C677" t="s">
        <v>7</v>
      </c>
      <c r="D677">
        <v>0.61</v>
      </c>
      <c r="E677" t="s">
        <v>35</v>
      </c>
      <c r="F677" t="s">
        <v>34</v>
      </c>
      <c r="G677">
        <v>1</v>
      </c>
      <c r="H677">
        <v>41.456800000000001</v>
      </c>
      <c r="I677" t="s">
        <v>49</v>
      </c>
      <c r="J677" s="1">
        <v>44332</v>
      </c>
      <c r="K677">
        <v>72.5329452179556</v>
      </c>
      <c r="L677" s="1">
        <v>44356</v>
      </c>
      <c r="M677" s="1">
        <v>44360</v>
      </c>
      <c r="N677">
        <v>580.26356174364503</v>
      </c>
      <c r="O677">
        <v>4</v>
      </c>
      <c r="P677" t="str">
        <f>IF(Table1[[#This Row],[Delivery Delay]]&gt;0,"Late","On Time")</f>
        <v>Late</v>
      </c>
      <c r="Q677">
        <v>72.532945217955628</v>
      </c>
      <c r="R677">
        <v>0.4821858920080766</v>
      </c>
      <c r="S677">
        <v>1.7233548096576682E-3</v>
      </c>
      <c r="T677">
        <v>0.61</v>
      </c>
      <c r="U677">
        <v>0</v>
      </c>
      <c r="V677">
        <v>27.995418484451264</v>
      </c>
    </row>
    <row r="678" spans="1:22" x14ac:dyDescent="0.35">
      <c r="A678" t="s">
        <v>104</v>
      </c>
      <c r="B678" t="s">
        <v>8</v>
      </c>
      <c r="C678" t="s">
        <v>5</v>
      </c>
      <c r="D678">
        <v>0.83</v>
      </c>
      <c r="E678" t="s">
        <v>37</v>
      </c>
      <c r="F678" t="s">
        <v>34</v>
      </c>
      <c r="G678">
        <v>1</v>
      </c>
      <c r="H678">
        <v>285.21249999999998</v>
      </c>
      <c r="I678" t="s">
        <v>48</v>
      </c>
      <c r="J678" s="1">
        <v>44295</v>
      </c>
      <c r="K678">
        <v>47.8503909296956</v>
      </c>
      <c r="L678" s="1">
        <v>44305</v>
      </c>
      <c r="M678" s="1">
        <v>44311</v>
      </c>
      <c r="N678">
        <v>382.803127437564</v>
      </c>
      <c r="O678">
        <v>6</v>
      </c>
      <c r="P678" t="str">
        <f>IF(Table1[[#This Row],[Delivery Delay]]&gt;0,"Late","On Time")</f>
        <v>Late</v>
      </c>
      <c r="Q678">
        <v>47.8503909296955</v>
      </c>
      <c r="R678">
        <v>0.513237510403311</v>
      </c>
      <c r="S678">
        <v>2.612308856236035E-3</v>
      </c>
      <c r="T678">
        <v>0.83</v>
      </c>
      <c r="U678">
        <v>0</v>
      </c>
      <c r="V678">
        <v>35.243119473753296</v>
      </c>
    </row>
    <row r="679" spans="1:22" x14ac:dyDescent="0.35">
      <c r="A679" t="s">
        <v>105</v>
      </c>
      <c r="B679" t="s">
        <v>14</v>
      </c>
      <c r="C679" t="s">
        <v>9</v>
      </c>
      <c r="D679">
        <v>0.69</v>
      </c>
      <c r="E679" t="s">
        <v>36</v>
      </c>
      <c r="F679" t="s">
        <v>34</v>
      </c>
      <c r="G679">
        <v>1</v>
      </c>
      <c r="H679">
        <v>320.58</v>
      </c>
      <c r="I679" t="s">
        <v>51</v>
      </c>
      <c r="J679" s="1">
        <v>44695</v>
      </c>
      <c r="K679">
        <v>13.4827008102743</v>
      </c>
      <c r="L679" s="1">
        <v>44705</v>
      </c>
      <c r="M679" s="1">
        <v>44708</v>
      </c>
      <c r="N679">
        <v>148.309708913018</v>
      </c>
      <c r="O679">
        <v>3</v>
      </c>
      <c r="P679" t="str">
        <f>IF(Table1[[#This Row],[Delivery Delay]]&gt;0,"Late","On Time")</f>
        <v>Late</v>
      </c>
      <c r="Q679">
        <v>13.482700810274364</v>
      </c>
      <c r="R679">
        <v>0.39830034663982999</v>
      </c>
      <c r="S679">
        <v>6.7426469064576812E-3</v>
      </c>
      <c r="T679">
        <v>0.69</v>
      </c>
      <c r="U679">
        <v>0</v>
      </c>
      <c r="V679">
        <v>28.86828633999033</v>
      </c>
    </row>
    <row r="680" spans="1:22" x14ac:dyDescent="0.35">
      <c r="A680" t="s">
        <v>106</v>
      </c>
      <c r="B680" t="s">
        <v>12</v>
      </c>
      <c r="C680" t="s">
        <v>7</v>
      </c>
      <c r="D680">
        <v>0.65</v>
      </c>
      <c r="E680" t="s">
        <v>38</v>
      </c>
      <c r="F680" t="s">
        <v>39</v>
      </c>
      <c r="G680">
        <v>0</v>
      </c>
      <c r="H680">
        <v>210.361999999999</v>
      </c>
      <c r="I680" t="s">
        <v>47</v>
      </c>
      <c r="J680" s="1">
        <v>44254</v>
      </c>
      <c r="K680">
        <v>22.040235665523099</v>
      </c>
      <c r="L680" s="1">
        <v>44276</v>
      </c>
      <c r="M680" s="1">
        <v>44273</v>
      </c>
      <c r="N680">
        <v>176.32188532418499</v>
      </c>
      <c r="O680">
        <v>-3</v>
      </c>
      <c r="P680" t="str">
        <f>IF(Table1[[#This Row],[Delivery Delay]]&gt;0,"Late","On Time")</f>
        <v>On Time</v>
      </c>
      <c r="Q680">
        <v>22.040235665523124</v>
      </c>
      <c r="R680">
        <v>0.22614657891511653</v>
      </c>
      <c r="S680">
        <v>5.6714457094274055E-3</v>
      </c>
      <c r="T680">
        <v>0.65</v>
      </c>
      <c r="U680">
        <v>1</v>
      </c>
      <c r="V680">
        <v>44.193074949585153</v>
      </c>
    </row>
    <row r="681" spans="1:22" x14ac:dyDescent="0.35">
      <c r="A681" t="s">
        <v>108</v>
      </c>
      <c r="B681" t="s">
        <v>4</v>
      </c>
      <c r="C681" t="s">
        <v>9</v>
      </c>
      <c r="D681">
        <v>0.63</v>
      </c>
      <c r="E681" t="s">
        <v>37</v>
      </c>
      <c r="F681" t="s">
        <v>34</v>
      </c>
      <c r="G681">
        <v>1</v>
      </c>
      <c r="H681">
        <v>34.932000000000002</v>
      </c>
      <c r="I681" t="s">
        <v>46</v>
      </c>
      <c r="J681" s="1">
        <v>44608</v>
      </c>
      <c r="K681">
        <v>29.693968914047101</v>
      </c>
      <c r="L681" s="1">
        <v>44621</v>
      </c>
      <c r="M681" s="1">
        <v>44626</v>
      </c>
      <c r="N681">
        <v>356.32762696856503</v>
      </c>
      <c r="O681">
        <v>5</v>
      </c>
      <c r="P681" t="str">
        <f>IF(Table1[[#This Row],[Delivery Delay]]&gt;0,"Late","On Time")</f>
        <v>Late</v>
      </c>
      <c r="Q681">
        <v>29.693968914047087</v>
      </c>
      <c r="R681">
        <v>6.3509032201762808E-2</v>
      </c>
      <c r="S681">
        <v>2.8064060272492406E-3</v>
      </c>
      <c r="T681">
        <v>0.63</v>
      </c>
      <c r="U681">
        <v>0</v>
      </c>
      <c r="V681">
        <v>20.254372824852734</v>
      </c>
    </row>
    <row r="682" spans="1:22" x14ac:dyDescent="0.35">
      <c r="A682" t="s">
        <v>102</v>
      </c>
      <c r="B682" t="s">
        <v>8</v>
      </c>
      <c r="C682" t="s">
        <v>9</v>
      </c>
      <c r="D682">
        <v>0.87</v>
      </c>
      <c r="E682" t="s">
        <v>37</v>
      </c>
      <c r="F682" t="s">
        <v>34</v>
      </c>
      <c r="G682">
        <v>1</v>
      </c>
      <c r="H682">
        <v>311.77919999999898</v>
      </c>
      <c r="I682" t="s">
        <v>47</v>
      </c>
      <c r="J682" s="1">
        <v>44332</v>
      </c>
      <c r="K682">
        <v>27.7728235860897</v>
      </c>
      <c r="L682" s="1">
        <v>44350</v>
      </c>
      <c r="M682" s="1">
        <v>44356</v>
      </c>
      <c r="N682">
        <v>305.50105944698703</v>
      </c>
      <c r="O682">
        <v>6</v>
      </c>
      <c r="P682" t="str">
        <f>IF(Table1[[#This Row],[Delivery Delay]]&gt;0,"Late","On Time")</f>
        <v>Late</v>
      </c>
      <c r="Q682">
        <v>27.772823586089729</v>
      </c>
      <c r="R682">
        <v>0.33046389287422179</v>
      </c>
      <c r="S682">
        <v>3.2733110707052326E-3</v>
      </c>
      <c r="T682">
        <v>0.87</v>
      </c>
      <c r="U682">
        <v>0</v>
      </c>
      <c r="V682">
        <v>32.807477189605592</v>
      </c>
    </row>
    <row r="683" spans="1:22" x14ac:dyDescent="0.35">
      <c r="A683" t="s">
        <v>99</v>
      </c>
      <c r="B683" t="s">
        <v>8</v>
      </c>
      <c r="C683" t="s">
        <v>9</v>
      </c>
      <c r="D683">
        <v>0.73</v>
      </c>
      <c r="E683" t="s">
        <v>37</v>
      </c>
      <c r="F683" t="s">
        <v>39</v>
      </c>
      <c r="G683">
        <v>0</v>
      </c>
      <c r="H683">
        <v>159.1576</v>
      </c>
      <c r="I683" t="s">
        <v>46</v>
      </c>
      <c r="J683" s="1">
        <v>44467</v>
      </c>
      <c r="K683">
        <v>62.854618568833899</v>
      </c>
      <c r="L683" s="1">
        <v>44491</v>
      </c>
      <c r="M683" s="1">
        <v>44497</v>
      </c>
      <c r="N683">
        <v>691.40080425717304</v>
      </c>
      <c r="O683">
        <v>6</v>
      </c>
      <c r="P683" t="str">
        <f>IF(Table1[[#This Row],[Delivery Delay]]&gt;0,"Late","On Time")</f>
        <v>Late</v>
      </c>
      <c r="Q683">
        <v>62.854618568833914</v>
      </c>
      <c r="R683">
        <v>0.30004961940857888</v>
      </c>
      <c r="S683">
        <v>1.4463390754576569E-3</v>
      </c>
      <c r="T683">
        <v>0.73</v>
      </c>
      <c r="U683">
        <v>1</v>
      </c>
      <c r="V683">
        <v>47.944382560435308</v>
      </c>
    </row>
    <row r="684" spans="1:22" x14ac:dyDescent="0.35">
      <c r="A684" t="s">
        <v>103</v>
      </c>
      <c r="B684" t="s">
        <v>6</v>
      </c>
      <c r="C684" t="s">
        <v>7</v>
      </c>
      <c r="D684">
        <v>0.88</v>
      </c>
      <c r="E684" t="s">
        <v>36</v>
      </c>
      <c r="F684" t="s">
        <v>34</v>
      </c>
      <c r="G684">
        <v>1</v>
      </c>
      <c r="H684">
        <v>29.925199999999901</v>
      </c>
      <c r="I684" t="s">
        <v>48</v>
      </c>
      <c r="J684" s="1">
        <v>44896</v>
      </c>
      <c r="K684">
        <v>35.779826263020297</v>
      </c>
      <c r="L684" s="1">
        <v>44910</v>
      </c>
      <c r="M684" s="1">
        <v>44916</v>
      </c>
      <c r="N684">
        <v>393.57808889322399</v>
      </c>
      <c r="O684">
        <v>6</v>
      </c>
      <c r="P684" t="str">
        <f>IF(Table1[[#This Row],[Delivery Delay]]&gt;0,"Late","On Time")</f>
        <v>Late</v>
      </c>
      <c r="Q684">
        <v>35.779826263020361</v>
      </c>
      <c r="R684">
        <v>0.47617320018076004</v>
      </c>
      <c r="S684">
        <v>2.5407918484793893E-3</v>
      </c>
      <c r="T684">
        <v>0.88</v>
      </c>
      <c r="U684">
        <v>0</v>
      </c>
      <c r="V684">
        <v>35.99968775906958</v>
      </c>
    </row>
    <row r="685" spans="1:22" x14ac:dyDescent="0.35">
      <c r="A685" t="s">
        <v>104</v>
      </c>
      <c r="B685" t="s">
        <v>10</v>
      </c>
      <c r="C685" t="s">
        <v>5</v>
      </c>
      <c r="D685">
        <v>0.63</v>
      </c>
      <c r="E685" t="s">
        <v>37</v>
      </c>
      <c r="F685" t="s">
        <v>34</v>
      </c>
      <c r="G685">
        <v>1</v>
      </c>
      <c r="H685">
        <v>507.097499999999</v>
      </c>
      <c r="I685" t="s">
        <v>48</v>
      </c>
      <c r="J685" s="1">
        <v>44865</v>
      </c>
      <c r="K685">
        <v>44.741437635801297</v>
      </c>
      <c r="L685" s="1">
        <v>44879</v>
      </c>
      <c r="M685" s="1">
        <v>44882</v>
      </c>
      <c r="N685">
        <v>536.89725162961497</v>
      </c>
      <c r="O685">
        <v>3</v>
      </c>
      <c r="P685" t="str">
        <f>IF(Table1[[#This Row],[Delivery Delay]]&gt;0,"Late","On Time")</f>
        <v>Late</v>
      </c>
      <c r="Q685">
        <v>44.741437635801248</v>
      </c>
      <c r="R685">
        <v>0.39490576066069977</v>
      </c>
      <c r="S685">
        <v>1.8625537697664768E-3</v>
      </c>
      <c r="T685">
        <v>0.63</v>
      </c>
      <c r="U685">
        <v>0</v>
      </c>
      <c r="V685">
        <v>26.853991826306988</v>
      </c>
    </row>
    <row r="686" spans="1:22" x14ac:dyDescent="0.35">
      <c r="A686" t="s">
        <v>105</v>
      </c>
      <c r="B686" t="s">
        <v>14</v>
      </c>
      <c r="C686" t="s">
        <v>9</v>
      </c>
      <c r="D686">
        <v>0.72</v>
      </c>
      <c r="E686" t="s">
        <v>36</v>
      </c>
      <c r="F686" t="s">
        <v>39</v>
      </c>
      <c r="G686">
        <v>0</v>
      </c>
      <c r="H686">
        <v>123.9735</v>
      </c>
      <c r="I686" t="s">
        <v>48</v>
      </c>
      <c r="J686" s="1">
        <v>45391</v>
      </c>
      <c r="K686">
        <v>20.6381570823484</v>
      </c>
      <c r="L686" s="1">
        <v>45403</v>
      </c>
      <c r="M686" s="1">
        <v>45409</v>
      </c>
      <c r="N686">
        <v>185.74341374113601</v>
      </c>
      <c r="O686">
        <v>6</v>
      </c>
      <c r="P686" t="str">
        <f>IF(Table1[[#This Row],[Delivery Delay]]&gt;0,"Late","On Time")</f>
        <v>Late</v>
      </c>
      <c r="Q686">
        <v>20.638157082348446</v>
      </c>
      <c r="R686">
        <v>0.19109197727677343</v>
      </c>
      <c r="S686">
        <v>5.3837709766315833E-3</v>
      </c>
      <c r="T686">
        <v>0.72</v>
      </c>
      <c r="U686">
        <v>1</v>
      </c>
      <c r="V686">
        <v>45.583352674834416</v>
      </c>
    </row>
    <row r="687" spans="1:22" x14ac:dyDescent="0.35">
      <c r="A687" t="s">
        <v>106</v>
      </c>
      <c r="B687" t="s">
        <v>12</v>
      </c>
      <c r="C687" t="s">
        <v>7</v>
      </c>
      <c r="D687">
        <v>0.81</v>
      </c>
      <c r="E687" t="s">
        <v>37</v>
      </c>
      <c r="F687" t="s">
        <v>34</v>
      </c>
      <c r="G687">
        <v>1</v>
      </c>
      <c r="H687">
        <v>299.60039999999998</v>
      </c>
      <c r="I687" t="s">
        <v>46</v>
      </c>
      <c r="J687" s="1">
        <v>45304</v>
      </c>
      <c r="K687">
        <v>22.445654546326299</v>
      </c>
      <c r="L687" s="1">
        <v>45321</v>
      </c>
      <c r="M687" s="1">
        <v>45327</v>
      </c>
      <c r="N687">
        <v>224.45654546326301</v>
      </c>
      <c r="O687">
        <v>6</v>
      </c>
      <c r="P687" t="str">
        <f>IF(Table1[[#This Row],[Delivery Delay]]&gt;0,"Late","On Time")</f>
        <v>Late</v>
      </c>
      <c r="Q687">
        <v>22.445654546326303</v>
      </c>
      <c r="R687">
        <v>0.59651600078367284</v>
      </c>
      <c r="S687">
        <v>4.4552053402411064E-3</v>
      </c>
      <c r="T687">
        <v>0.81</v>
      </c>
      <c r="U687">
        <v>0</v>
      </c>
      <c r="V687">
        <v>36.363976175880687</v>
      </c>
    </row>
    <row r="688" spans="1:22" x14ac:dyDescent="0.35">
      <c r="A688" t="s">
        <v>108</v>
      </c>
      <c r="B688" t="s">
        <v>13</v>
      </c>
      <c r="C688" t="s">
        <v>9</v>
      </c>
      <c r="D688">
        <v>0.91</v>
      </c>
      <c r="E688" t="s">
        <v>37</v>
      </c>
      <c r="F688" t="s">
        <v>39</v>
      </c>
      <c r="G688">
        <v>0</v>
      </c>
      <c r="H688">
        <v>184.539999999999</v>
      </c>
      <c r="I688" t="s">
        <v>47</v>
      </c>
      <c r="J688" s="1">
        <v>44720</v>
      </c>
      <c r="K688">
        <v>19.1710681452033</v>
      </c>
      <c r="L688" s="1">
        <v>44744</v>
      </c>
      <c r="M688" s="1">
        <v>44745</v>
      </c>
      <c r="N688">
        <v>210.88174959723699</v>
      </c>
      <c r="O688">
        <v>1</v>
      </c>
      <c r="P688" t="str">
        <f>IF(Table1[[#This Row],[Delivery Delay]]&gt;0,"Late","On Time")</f>
        <v>Late</v>
      </c>
      <c r="Q688">
        <v>19.171068145203364</v>
      </c>
      <c r="R688">
        <v>0.25957183447266891</v>
      </c>
      <c r="S688">
        <v>4.7419940412572435E-3</v>
      </c>
      <c r="T688">
        <v>0.91</v>
      </c>
      <c r="U688">
        <v>1</v>
      </c>
      <c r="V688">
        <v>52.633696510691095</v>
      </c>
    </row>
    <row r="689" spans="1:22" x14ac:dyDescent="0.35">
      <c r="A689" t="s">
        <v>107</v>
      </c>
      <c r="B689" t="s">
        <v>15</v>
      </c>
      <c r="C689" t="s">
        <v>11</v>
      </c>
      <c r="D689">
        <v>0.72</v>
      </c>
      <c r="E689" t="s">
        <v>35</v>
      </c>
      <c r="F689" t="s">
        <v>34</v>
      </c>
      <c r="G689">
        <v>1</v>
      </c>
      <c r="H689">
        <v>250.712999999999</v>
      </c>
      <c r="I689" t="s">
        <v>48</v>
      </c>
      <c r="J689" s="1">
        <v>45202</v>
      </c>
      <c r="K689">
        <v>31.595080613800299</v>
      </c>
      <c r="L689" s="1">
        <v>45221</v>
      </c>
      <c r="M689" s="1">
        <v>45220</v>
      </c>
      <c r="N689">
        <v>252.76064491040199</v>
      </c>
      <c r="O689">
        <v>-1</v>
      </c>
      <c r="P689" t="str">
        <f>IF(Table1[[#This Row],[Delivery Delay]]&gt;0,"Late","On Time")</f>
        <v>On Time</v>
      </c>
      <c r="Q689">
        <v>31.595080613800249</v>
      </c>
      <c r="R689">
        <v>0.21791409571208584</v>
      </c>
      <c r="S689">
        <v>3.9563121084553237E-3</v>
      </c>
      <c r="T689">
        <v>0.72</v>
      </c>
      <c r="U689">
        <v>0</v>
      </c>
      <c r="V689">
        <v>26.076971277495375</v>
      </c>
    </row>
    <row r="690" spans="1:22" x14ac:dyDescent="0.35">
      <c r="A690" t="s">
        <v>100</v>
      </c>
      <c r="B690" t="s">
        <v>10</v>
      </c>
      <c r="C690" t="s">
        <v>9</v>
      </c>
      <c r="D690">
        <v>0.84</v>
      </c>
      <c r="E690" t="s">
        <v>36</v>
      </c>
      <c r="F690" t="s">
        <v>34</v>
      </c>
      <c r="G690">
        <v>1</v>
      </c>
      <c r="H690">
        <v>42.4816</v>
      </c>
      <c r="I690" t="s">
        <v>45</v>
      </c>
      <c r="J690" s="1">
        <v>45147</v>
      </c>
      <c r="K690">
        <v>63.624308833011703</v>
      </c>
      <c r="L690" s="1">
        <v>45168</v>
      </c>
      <c r="M690" s="1">
        <v>45171</v>
      </c>
      <c r="N690">
        <v>572.61877949710504</v>
      </c>
      <c r="O690">
        <v>3</v>
      </c>
      <c r="P690" t="str">
        <f>IF(Table1[[#This Row],[Delivery Delay]]&gt;0,"Late","On Time")</f>
        <v>Late</v>
      </c>
      <c r="Q690">
        <v>63.624308833011668</v>
      </c>
      <c r="R690">
        <v>5.6302695641847762E-2</v>
      </c>
      <c r="S690">
        <v>1.7463625640748927E-3</v>
      </c>
      <c r="T690">
        <v>0.84</v>
      </c>
      <c r="U690">
        <v>0</v>
      </c>
      <c r="V690">
        <v>26.378444789759204</v>
      </c>
    </row>
    <row r="691" spans="1:22" x14ac:dyDescent="0.35">
      <c r="A691" t="s">
        <v>101</v>
      </c>
      <c r="B691" t="s">
        <v>10</v>
      </c>
      <c r="C691" t="s">
        <v>11</v>
      </c>
      <c r="D691">
        <v>0.95</v>
      </c>
      <c r="E691" t="s">
        <v>38</v>
      </c>
      <c r="F691" t="s">
        <v>39</v>
      </c>
      <c r="G691">
        <v>0</v>
      </c>
      <c r="H691">
        <v>273.27</v>
      </c>
      <c r="I691" t="s">
        <v>50</v>
      </c>
      <c r="J691" s="1">
        <v>45360</v>
      </c>
      <c r="K691">
        <v>51.114958986810102</v>
      </c>
      <c r="L691" s="1">
        <v>45384</v>
      </c>
      <c r="M691" s="1">
        <v>45383</v>
      </c>
      <c r="N691">
        <v>562.26454885491103</v>
      </c>
      <c r="O691">
        <v>-1</v>
      </c>
      <c r="P691" t="str">
        <f>IF(Table1[[#This Row],[Delivery Delay]]&gt;0,"Late","On Time")</f>
        <v>On Time</v>
      </c>
      <c r="Q691">
        <v>51.114958986810095</v>
      </c>
      <c r="R691">
        <v>0.58828468096099196</v>
      </c>
      <c r="S691">
        <v>1.7785222312816382E-3</v>
      </c>
      <c r="T691">
        <v>0.95</v>
      </c>
      <c r="U691">
        <v>1</v>
      </c>
      <c r="V691">
        <v>60.31904928615829</v>
      </c>
    </row>
    <row r="692" spans="1:22" x14ac:dyDescent="0.35">
      <c r="A692" t="s">
        <v>102</v>
      </c>
      <c r="B692" t="s">
        <v>6</v>
      </c>
      <c r="C692" t="s">
        <v>7</v>
      </c>
      <c r="D692">
        <v>0.84</v>
      </c>
      <c r="E692" t="s">
        <v>37</v>
      </c>
      <c r="F692" t="s">
        <v>39</v>
      </c>
      <c r="G692">
        <v>0</v>
      </c>
      <c r="H692">
        <v>881.79199999999901</v>
      </c>
      <c r="I692" t="s">
        <v>46</v>
      </c>
      <c r="J692" s="1">
        <v>45337</v>
      </c>
      <c r="K692">
        <v>17.668394031706001</v>
      </c>
      <c r="L692" s="1">
        <v>45352</v>
      </c>
      <c r="M692" s="1">
        <v>45357</v>
      </c>
      <c r="N692">
        <v>212.02072838047201</v>
      </c>
      <c r="O692">
        <v>5</v>
      </c>
      <c r="P692" t="str">
        <f>IF(Table1[[#This Row],[Delivery Delay]]&gt;0,"Late","On Time")</f>
        <v>Late</v>
      </c>
      <c r="Q692">
        <v>17.668394031706001</v>
      </c>
      <c r="R692">
        <v>0.50939071280686132</v>
      </c>
      <c r="S692">
        <v>4.7165199725448361E-3</v>
      </c>
      <c r="T692">
        <v>0.84</v>
      </c>
      <c r="U692">
        <v>1</v>
      </c>
      <c r="V692">
        <v>55.529309855313571</v>
      </c>
    </row>
    <row r="693" spans="1:22" x14ac:dyDescent="0.35">
      <c r="A693" t="s">
        <v>99</v>
      </c>
      <c r="B693" t="s">
        <v>13</v>
      </c>
      <c r="C693" t="s">
        <v>5</v>
      </c>
      <c r="D693">
        <v>0.69</v>
      </c>
      <c r="E693" t="s">
        <v>37</v>
      </c>
      <c r="F693" t="s">
        <v>34</v>
      </c>
      <c r="G693">
        <v>1</v>
      </c>
      <c r="H693">
        <v>579.878999999999</v>
      </c>
      <c r="I693" t="s">
        <v>46</v>
      </c>
      <c r="J693" s="1">
        <v>44648</v>
      </c>
      <c r="K693">
        <v>71.874861080467994</v>
      </c>
      <c r="L693" s="1">
        <v>44667</v>
      </c>
      <c r="M693" s="1">
        <v>44664</v>
      </c>
      <c r="N693">
        <v>790.62347188514798</v>
      </c>
      <c r="O693">
        <v>-3</v>
      </c>
      <c r="P693" t="str">
        <f>IF(Table1[[#This Row],[Delivery Delay]]&gt;0,"Late","On Time")</f>
        <v>On Time</v>
      </c>
      <c r="Q693">
        <v>71.874861080467994</v>
      </c>
      <c r="R693">
        <v>0.6493031411554846</v>
      </c>
      <c r="S693">
        <v>1.2648245790320624E-3</v>
      </c>
      <c r="T693">
        <v>0.69</v>
      </c>
      <c r="U693">
        <v>0</v>
      </c>
      <c r="V693">
        <v>33.724007560480651</v>
      </c>
    </row>
    <row r="694" spans="1:22" x14ac:dyDescent="0.35">
      <c r="A694" t="s">
        <v>103</v>
      </c>
      <c r="B694" t="s">
        <v>4</v>
      </c>
      <c r="C694" t="s">
        <v>9</v>
      </c>
      <c r="D694">
        <v>0.61</v>
      </c>
      <c r="E694" t="s">
        <v>35</v>
      </c>
      <c r="F694" t="s">
        <v>34</v>
      </c>
      <c r="G694">
        <v>1</v>
      </c>
      <c r="H694">
        <v>-106.35</v>
      </c>
      <c r="I694" t="s">
        <v>47</v>
      </c>
      <c r="J694" s="1">
        <v>44310</v>
      </c>
      <c r="K694">
        <v>55.693808085605298</v>
      </c>
      <c r="L694" s="1">
        <v>44323</v>
      </c>
      <c r="M694" s="1">
        <v>44323</v>
      </c>
      <c r="N694">
        <v>668.32569702726403</v>
      </c>
      <c r="O694">
        <v>0</v>
      </c>
      <c r="P694" t="str">
        <f>IF(Table1[[#This Row],[Delivery Delay]]&gt;0,"Late","On Time")</f>
        <v>On Time</v>
      </c>
      <c r="Q694">
        <v>55.693808085605333</v>
      </c>
      <c r="R694">
        <v>0</v>
      </c>
      <c r="S694">
        <v>1.4962764479175869E-3</v>
      </c>
      <c r="T694">
        <v>0.61</v>
      </c>
      <c r="U694">
        <v>0</v>
      </c>
      <c r="V694">
        <v>18.344888293437528</v>
      </c>
    </row>
    <row r="695" spans="1:22" x14ac:dyDescent="0.35">
      <c r="A695" t="s">
        <v>104</v>
      </c>
      <c r="B695" t="s">
        <v>4</v>
      </c>
      <c r="C695" t="s">
        <v>9</v>
      </c>
      <c r="D695">
        <v>0.94</v>
      </c>
      <c r="E695" t="s">
        <v>37</v>
      </c>
      <c r="F695" t="s">
        <v>34</v>
      </c>
      <c r="G695">
        <v>1</v>
      </c>
      <c r="H695">
        <v>208.47049999999999</v>
      </c>
      <c r="I695" t="s">
        <v>46</v>
      </c>
      <c r="J695" s="1">
        <v>44370</v>
      </c>
      <c r="K695">
        <v>78.018921746118494</v>
      </c>
      <c r="L695" s="1">
        <v>44393</v>
      </c>
      <c r="M695" s="1">
        <v>44394</v>
      </c>
      <c r="N695">
        <v>546.13245222282899</v>
      </c>
      <c r="O695">
        <v>1</v>
      </c>
      <c r="P695" t="str">
        <f>IF(Table1[[#This Row],[Delivery Delay]]&gt;0,"Late","On Time")</f>
        <v>Late</v>
      </c>
      <c r="Q695">
        <v>78.018921746118423</v>
      </c>
      <c r="R695">
        <v>0.39325115704825597</v>
      </c>
      <c r="S695">
        <v>1.8310576416579385E-3</v>
      </c>
      <c r="T695">
        <v>0.94</v>
      </c>
      <c r="U695">
        <v>0</v>
      </c>
      <c r="V695">
        <v>36.119954870214862</v>
      </c>
    </row>
    <row r="696" spans="1:22" x14ac:dyDescent="0.35">
      <c r="A696" t="s">
        <v>105</v>
      </c>
      <c r="B696" t="s">
        <v>6</v>
      </c>
      <c r="C696" t="s">
        <v>9</v>
      </c>
      <c r="D696">
        <v>0.61</v>
      </c>
      <c r="E696" t="s">
        <v>36</v>
      </c>
      <c r="F696" t="s">
        <v>39</v>
      </c>
      <c r="G696">
        <v>0</v>
      </c>
      <c r="H696">
        <v>67.343199999999996</v>
      </c>
      <c r="I696" t="s">
        <v>46</v>
      </c>
      <c r="J696" s="1">
        <v>44335</v>
      </c>
      <c r="K696">
        <v>41.474784112719099</v>
      </c>
      <c r="L696" s="1">
        <v>44357</v>
      </c>
      <c r="M696" s="1">
        <v>44361</v>
      </c>
      <c r="N696">
        <v>373.27305701447199</v>
      </c>
      <c r="O696">
        <v>4</v>
      </c>
      <c r="P696" t="str">
        <f>IF(Table1[[#This Row],[Delivery Delay]]&gt;0,"Late","On Time")</f>
        <v>Late</v>
      </c>
      <c r="Q696">
        <v>41.474784112719107</v>
      </c>
      <c r="R696">
        <v>9.428873214983774E-2</v>
      </c>
      <c r="S696">
        <v>2.6790039656176671E-3</v>
      </c>
      <c r="T696">
        <v>0.61</v>
      </c>
      <c r="U696">
        <v>1</v>
      </c>
      <c r="V696">
        <v>40.266144761965286</v>
      </c>
    </row>
    <row r="697" spans="1:22" x14ac:dyDescent="0.35">
      <c r="A697" t="s">
        <v>106</v>
      </c>
      <c r="B697" t="s">
        <v>8</v>
      </c>
      <c r="C697" t="s">
        <v>7</v>
      </c>
      <c r="D697">
        <v>0.94</v>
      </c>
      <c r="E697" t="s">
        <v>37</v>
      </c>
      <c r="F697" t="s">
        <v>34</v>
      </c>
      <c r="G697">
        <v>1</v>
      </c>
      <c r="H697">
        <v>534.71249999999895</v>
      </c>
      <c r="I697" t="s">
        <v>48</v>
      </c>
      <c r="J697" s="1">
        <v>45255</v>
      </c>
      <c r="K697">
        <v>64.491908462772301</v>
      </c>
      <c r="L697" s="1">
        <v>45272</v>
      </c>
      <c r="M697" s="1">
        <v>45276</v>
      </c>
      <c r="N697">
        <v>773.90290155326795</v>
      </c>
      <c r="O697">
        <v>4</v>
      </c>
      <c r="P697" t="str">
        <f>IF(Table1[[#This Row],[Delivery Delay]]&gt;0,"Late","On Time")</f>
        <v>Late</v>
      </c>
      <c r="Q697">
        <v>64.491908462772329</v>
      </c>
      <c r="R697">
        <v>0.40764458675205351</v>
      </c>
      <c r="S697">
        <v>1.2921517647665386E-3</v>
      </c>
      <c r="T697">
        <v>0.94</v>
      </c>
      <c r="U697">
        <v>0</v>
      </c>
      <c r="V697">
        <v>36.391656287984063</v>
      </c>
    </row>
    <row r="698" spans="1:22" x14ac:dyDescent="0.35">
      <c r="A698" t="s">
        <v>108</v>
      </c>
      <c r="B698" t="s">
        <v>4</v>
      </c>
      <c r="C698" t="s">
        <v>9</v>
      </c>
      <c r="D698">
        <v>0.81</v>
      </c>
      <c r="E698" t="s">
        <v>35</v>
      </c>
      <c r="F698" t="s">
        <v>34</v>
      </c>
      <c r="G698">
        <v>1</v>
      </c>
      <c r="H698">
        <v>-6.4970999999999801</v>
      </c>
      <c r="I698" t="s">
        <v>47</v>
      </c>
      <c r="J698" s="1">
        <v>45289</v>
      </c>
      <c r="K698">
        <v>68.515331633258398</v>
      </c>
      <c r="L698" s="1">
        <v>45311</v>
      </c>
      <c r="M698" s="1">
        <v>45308</v>
      </c>
      <c r="N698">
        <v>890.69931123235995</v>
      </c>
      <c r="O698">
        <v>-3</v>
      </c>
      <c r="P698" t="str">
        <f>IF(Table1[[#This Row],[Delivery Delay]]&gt;0,"Late","On Time")</f>
        <v>On Time</v>
      </c>
      <c r="Q698">
        <v>68.515331633258455</v>
      </c>
      <c r="R698">
        <v>0</v>
      </c>
      <c r="S698">
        <v>1.1227133415163564E-3</v>
      </c>
      <c r="T698">
        <v>0.81</v>
      </c>
      <c r="U698">
        <v>0</v>
      </c>
      <c r="V698">
        <v>24.333681400245492</v>
      </c>
    </row>
    <row r="699" spans="1:22" x14ac:dyDescent="0.35">
      <c r="A699" t="s">
        <v>103</v>
      </c>
      <c r="B699" t="s">
        <v>14</v>
      </c>
      <c r="C699" t="s">
        <v>9</v>
      </c>
      <c r="D699">
        <v>0.97</v>
      </c>
      <c r="E699" t="s">
        <v>37</v>
      </c>
      <c r="F699" t="s">
        <v>34</v>
      </c>
      <c r="G699">
        <v>1</v>
      </c>
      <c r="H699">
        <v>-33.299100000000003</v>
      </c>
      <c r="I699" t="s">
        <v>48</v>
      </c>
      <c r="J699" s="1">
        <v>45146</v>
      </c>
      <c r="K699">
        <v>30.736880873671598</v>
      </c>
      <c r="L699" s="1">
        <v>45167</v>
      </c>
      <c r="M699" s="1">
        <v>45168</v>
      </c>
      <c r="N699">
        <v>215.15816611570099</v>
      </c>
      <c r="O699">
        <v>1</v>
      </c>
      <c r="P699" t="str">
        <f>IF(Table1[[#This Row],[Delivery Delay]]&gt;0,"Late","On Time")</f>
        <v>Late</v>
      </c>
      <c r="Q699">
        <v>30.73688087367157</v>
      </c>
      <c r="R699">
        <v>0</v>
      </c>
      <c r="S699">
        <v>4.6477436485596896E-3</v>
      </c>
      <c r="T699">
        <v>0.97</v>
      </c>
      <c r="U699">
        <v>0</v>
      </c>
      <c r="V699">
        <v>29.239432309456788</v>
      </c>
    </row>
    <row r="700" spans="1:22" x14ac:dyDescent="0.35">
      <c r="A700" t="s">
        <v>104</v>
      </c>
      <c r="B700" t="s">
        <v>12</v>
      </c>
      <c r="C700" t="s">
        <v>7</v>
      </c>
      <c r="D700">
        <v>0.91</v>
      </c>
      <c r="E700" t="s">
        <v>35</v>
      </c>
      <c r="F700" t="s">
        <v>34</v>
      </c>
      <c r="G700">
        <v>1</v>
      </c>
      <c r="H700">
        <v>392.77199999999903</v>
      </c>
      <c r="I700" t="s">
        <v>50</v>
      </c>
      <c r="J700" s="1">
        <v>44523</v>
      </c>
      <c r="K700">
        <v>26.933945571837501</v>
      </c>
      <c r="L700" s="1">
        <v>44542</v>
      </c>
      <c r="M700" s="1">
        <v>44542</v>
      </c>
      <c r="N700">
        <v>215.47156457470001</v>
      </c>
      <c r="O700">
        <v>0</v>
      </c>
      <c r="P700" t="str">
        <f>IF(Table1[[#This Row],[Delivery Delay]]&gt;0,"Late","On Time")</f>
        <v>On Time</v>
      </c>
      <c r="Q700">
        <v>26.933945571837501</v>
      </c>
      <c r="R700">
        <v>0.78065398344768333</v>
      </c>
      <c r="S700">
        <v>4.6409836117995906E-3</v>
      </c>
      <c r="T700">
        <v>0.91</v>
      </c>
      <c r="U700">
        <v>0</v>
      </c>
      <c r="V700">
        <v>43.052309177307656</v>
      </c>
    </row>
    <row r="701" spans="1:22" x14ac:dyDescent="0.35">
      <c r="A701" t="s">
        <v>105</v>
      </c>
      <c r="B701" t="s">
        <v>10</v>
      </c>
      <c r="C701" t="s">
        <v>9</v>
      </c>
      <c r="D701">
        <v>0.99</v>
      </c>
      <c r="E701" t="s">
        <v>38</v>
      </c>
      <c r="F701" t="s">
        <v>34</v>
      </c>
      <c r="G701">
        <v>1</v>
      </c>
      <c r="H701">
        <v>7.1142000000000101</v>
      </c>
      <c r="I701" t="s">
        <v>50</v>
      </c>
      <c r="J701" s="1">
        <v>44856</v>
      </c>
      <c r="K701">
        <v>59.475164980699702</v>
      </c>
      <c r="L701" s="1">
        <v>44875</v>
      </c>
      <c r="M701" s="1">
        <v>44880</v>
      </c>
      <c r="N701">
        <v>773.17714474909599</v>
      </c>
      <c r="O701">
        <v>5</v>
      </c>
      <c r="P701" t="str">
        <f>IF(Table1[[#This Row],[Delivery Delay]]&gt;0,"Late","On Time")</f>
        <v>Late</v>
      </c>
      <c r="Q701">
        <v>59.475164980699688</v>
      </c>
      <c r="R701">
        <v>3.2395555276265253E-2</v>
      </c>
      <c r="S701">
        <v>1.2933646665467722E-3</v>
      </c>
      <c r="T701">
        <v>0.99</v>
      </c>
      <c r="U701">
        <v>0</v>
      </c>
      <c r="V701">
        <v>30.386712045521708</v>
      </c>
    </row>
    <row r="702" spans="1:22" x14ac:dyDescent="0.35">
      <c r="A702" t="s">
        <v>106</v>
      </c>
      <c r="B702" t="s">
        <v>4</v>
      </c>
      <c r="C702" t="s">
        <v>5</v>
      </c>
      <c r="D702">
        <v>0.75</v>
      </c>
      <c r="E702" t="s">
        <v>36</v>
      </c>
      <c r="F702" t="s">
        <v>34</v>
      </c>
      <c r="G702">
        <v>1</v>
      </c>
      <c r="H702">
        <v>251.159999999999</v>
      </c>
      <c r="I702" t="s">
        <v>48</v>
      </c>
      <c r="J702" s="1">
        <v>44347</v>
      </c>
      <c r="K702">
        <v>17.431436629510699</v>
      </c>
      <c r="L702" s="1">
        <v>44365</v>
      </c>
      <c r="M702" s="1">
        <v>44370</v>
      </c>
      <c r="N702">
        <v>296.334422701682</v>
      </c>
      <c r="O702">
        <v>5</v>
      </c>
      <c r="P702" t="str">
        <f>IF(Table1[[#This Row],[Delivery Delay]]&gt;0,"Late","On Time")</f>
        <v>Late</v>
      </c>
      <c r="Q702">
        <v>17.431436629510706</v>
      </c>
      <c r="R702">
        <v>0.44598337950138328</v>
      </c>
      <c r="S702">
        <v>3.3745657722886067E-3</v>
      </c>
      <c r="T702">
        <v>0.75</v>
      </c>
      <c r="U702">
        <v>0</v>
      </c>
      <c r="V702">
        <v>31.520904563196321</v>
      </c>
    </row>
    <row r="703" spans="1:22" x14ac:dyDescent="0.35">
      <c r="A703" t="s">
        <v>108</v>
      </c>
      <c r="B703" t="s">
        <v>6</v>
      </c>
      <c r="C703" t="s">
        <v>7</v>
      </c>
      <c r="D703">
        <v>0.8</v>
      </c>
      <c r="E703" t="s">
        <v>38</v>
      </c>
      <c r="F703" t="s">
        <v>34</v>
      </c>
      <c r="G703">
        <v>1</v>
      </c>
      <c r="H703">
        <v>328.59050000000002</v>
      </c>
      <c r="I703" t="s">
        <v>50</v>
      </c>
      <c r="J703" s="1">
        <v>44822</v>
      </c>
      <c r="K703">
        <v>17.772909242948099</v>
      </c>
      <c r="L703" s="1">
        <v>44845</v>
      </c>
      <c r="M703" s="1">
        <v>44844</v>
      </c>
      <c r="N703">
        <v>319.91236637306702</v>
      </c>
      <c r="O703">
        <v>-1</v>
      </c>
      <c r="P703" t="str">
        <f>IF(Table1[[#This Row],[Delivery Delay]]&gt;0,"Late","On Time")</f>
        <v>On Time</v>
      </c>
      <c r="Q703">
        <v>17.772909242948167</v>
      </c>
      <c r="R703">
        <v>0.21157066139634881</v>
      </c>
      <c r="S703">
        <v>3.1258560315666141E-3</v>
      </c>
      <c r="T703">
        <v>0.8</v>
      </c>
      <c r="U703">
        <v>0</v>
      </c>
      <c r="V703">
        <v>28.325188908873972</v>
      </c>
    </row>
    <row r="704" spans="1:22" x14ac:dyDescent="0.35">
      <c r="A704" t="s">
        <v>107</v>
      </c>
      <c r="B704" t="s">
        <v>8</v>
      </c>
      <c r="C704" t="s">
        <v>9</v>
      </c>
      <c r="D704">
        <v>0.62</v>
      </c>
      <c r="E704" t="s">
        <v>35</v>
      </c>
      <c r="F704" t="s">
        <v>34</v>
      </c>
      <c r="G704">
        <v>1</v>
      </c>
      <c r="H704">
        <v>178.83670000000001</v>
      </c>
      <c r="I704" t="s">
        <v>47</v>
      </c>
      <c r="J704" s="1">
        <v>44823</v>
      </c>
      <c r="K704">
        <v>60.360526088517901</v>
      </c>
      <c r="L704" s="1">
        <v>44834</v>
      </c>
      <c r="M704" s="1">
        <v>44836</v>
      </c>
      <c r="N704">
        <v>784.68683915073302</v>
      </c>
      <c r="O704">
        <v>2</v>
      </c>
      <c r="P704" t="str">
        <f>IF(Table1[[#This Row],[Delivery Delay]]&gt;0,"Late","On Time")</f>
        <v>Late</v>
      </c>
      <c r="Q704">
        <v>60.360526088517922</v>
      </c>
      <c r="R704">
        <v>0.26431411335418348</v>
      </c>
      <c r="S704">
        <v>1.2743937455129239E-3</v>
      </c>
      <c r="T704">
        <v>0.62</v>
      </c>
      <c r="U704">
        <v>0</v>
      </c>
      <c r="V704">
        <v>23.924514079449057</v>
      </c>
    </row>
    <row r="705" spans="1:22" x14ac:dyDescent="0.35">
      <c r="A705" t="s">
        <v>100</v>
      </c>
      <c r="B705" t="s">
        <v>4</v>
      </c>
      <c r="C705" t="s">
        <v>9</v>
      </c>
      <c r="D705">
        <v>0.66</v>
      </c>
      <c r="E705" t="s">
        <v>37</v>
      </c>
      <c r="F705" t="s">
        <v>34</v>
      </c>
      <c r="G705">
        <v>1</v>
      </c>
      <c r="H705">
        <v>183.6576</v>
      </c>
      <c r="I705" t="s">
        <v>51</v>
      </c>
      <c r="J705" s="1">
        <v>45149</v>
      </c>
      <c r="K705">
        <v>74.134114140601298</v>
      </c>
      <c r="L705" s="1">
        <v>45166</v>
      </c>
      <c r="M705" s="1">
        <v>45166</v>
      </c>
      <c r="N705">
        <v>518.93879898420903</v>
      </c>
      <c r="O705">
        <v>0</v>
      </c>
      <c r="P705" t="str">
        <f>IF(Table1[[#This Row],[Delivery Delay]]&gt;0,"Late","On Time")</f>
        <v>On Time</v>
      </c>
      <c r="Q705">
        <v>74.134114140601284</v>
      </c>
      <c r="R705">
        <v>0.70270617728353801</v>
      </c>
      <c r="S705">
        <v>1.9270095085536848E-3</v>
      </c>
      <c r="T705">
        <v>0.66</v>
      </c>
      <c r="U705">
        <v>0</v>
      </c>
      <c r="V705">
        <v>33.911933830927374</v>
      </c>
    </row>
    <row r="706" spans="1:22" x14ac:dyDescent="0.35">
      <c r="A706" t="s">
        <v>101</v>
      </c>
      <c r="B706" t="s">
        <v>10</v>
      </c>
      <c r="C706" t="s">
        <v>9</v>
      </c>
      <c r="D706">
        <v>0.89</v>
      </c>
      <c r="E706" t="s">
        <v>38</v>
      </c>
      <c r="F706" t="s">
        <v>39</v>
      </c>
      <c r="G706">
        <v>0</v>
      </c>
      <c r="H706">
        <v>608.03579999999897</v>
      </c>
      <c r="I706" t="s">
        <v>48</v>
      </c>
      <c r="J706" s="1">
        <v>44698</v>
      </c>
      <c r="K706">
        <v>49.269889183522402</v>
      </c>
      <c r="L706" s="1">
        <v>44717</v>
      </c>
      <c r="M706" s="1">
        <v>44718</v>
      </c>
      <c r="N706">
        <v>591.23867020226896</v>
      </c>
      <c r="O706">
        <v>1</v>
      </c>
      <c r="P706" t="str">
        <f>IF(Table1[[#This Row],[Delivery Delay]]&gt;0,"Late","On Time")</f>
        <v>Late</v>
      </c>
      <c r="Q706">
        <v>49.269889183522416</v>
      </c>
      <c r="R706">
        <v>0.57500966016092792</v>
      </c>
      <c r="S706">
        <v>1.691364334572178E-3</v>
      </c>
      <c r="T706">
        <v>0.89</v>
      </c>
      <c r="U706">
        <v>1</v>
      </c>
      <c r="V706">
        <v>58.250934133255726</v>
      </c>
    </row>
    <row r="707" spans="1:22" x14ac:dyDescent="0.35">
      <c r="A707" t="s">
        <v>102</v>
      </c>
      <c r="B707" t="s">
        <v>4</v>
      </c>
      <c r="C707" t="s">
        <v>11</v>
      </c>
      <c r="D707">
        <v>0.63</v>
      </c>
      <c r="E707" t="s">
        <v>38</v>
      </c>
      <c r="F707" t="s">
        <v>34</v>
      </c>
      <c r="G707">
        <v>1</v>
      </c>
      <c r="H707">
        <v>-0.499799999999964</v>
      </c>
      <c r="I707" t="s">
        <v>45</v>
      </c>
      <c r="J707" s="1">
        <v>44350</v>
      </c>
      <c r="K707">
        <v>73.147076499188898</v>
      </c>
      <c r="L707" s="1">
        <v>44365</v>
      </c>
      <c r="M707" s="1">
        <v>44370</v>
      </c>
      <c r="N707">
        <v>1024.0590709886401</v>
      </c>
      <c r="O707">
        <v>5</v>
      </c>
      <c r="P707" t="str">
        <f>IF(Table1[[#This Row],[Delivery Delay]]&gt;0,"Late","On Time")</f>
        <v>Late</v>
      </c>
      <c r="Q707">
        <v>73.147076499188572</v>
      </c>
      <c r="R707">
        <v>0</v>
      </c>
      <c r="S707">
        <v>9.7650616876484176E-4</v>
      </c>
      <c r="T707">
        <v>0.63</v>
      </c>
      <c r="U707">
        <v>0</v>
      </c>
      <c r="V707">
        <v>18.929295185062944</v>
      </c>
    </row>
    <row r="708" spans="1:22" x14ac:dyDescent="0.35">
      <c r="A708" t="s">
        <v>99</v>
      </c>
      <c r="B708" t="s">
        <v>6</v>
      </c>
      <c r="C708" t="s">
        <v>11</v>
      </c>
      <c r="D708">
        <v>0.84</v>
      </c>
      <c r="E708" t="s">
        <v>36</v>
      </c>
      <c r="F708" t="s">
        <v>34</v>
      </c>
      <c r="G708">
        <v>1</v>
      </c>
      <c r="H708">
        <v>410.49999999999898</v>
      </c>
      <c r="I708" t="s">
        <v>45</v>
      </c>
      <c r="J708" s="1">
        <v>44212</v>
      </c>
      <c r="K708">
        <v>43.037964812132302</v>
      </c>
      <c r="L708" s="1">
        <v>44232</v>
      </c>
      <c r="M708" s="1">
        <v>44233</v>
      </c>
      <c r="N708">
        <v>473.41761293345502</v>
      </c>
      <c r="O708">
        <v>1</v>
      </c>
      <c r="P708" t="str">
        <f>IF(Table1[[#This Row],[Delivery Delay]]&gt;0,"Late","On Time")</f>
        <v>Late</v>
      </c>
      <c r="Q708">
        <v>43.037964812132273</v>
      </c>
      <c r="R708">
        <v>0.44702167047805619</v>
      </c>
      <c r="S708">
        <v>2.1122999497286614E-3</v>
      </c>
      <c r="T708">
        <v>0.84</v>
      </c>
      <c r="U708">
        <v>0</v>
      </c>
      <c r="V708">
        <v>34.203802408052987</v>
      </c>
    </row>
    <row r="709" spans="1:22" x14ac:dyDescent="0.35">
      <c r="A709" t="s">
        <v>103</v>
      </c>
      <c r="B709" t="s">
        <v>4</v>
      </c>
      <c r="C709" t="s">
        <v>9</v>
      </c>
      <c r="D709">
        <v>0.7</v>
      </c>
      <c r="E709" t="s">
        <v>36</v>
      </c>
      <c r="F709" t="s">
        <v>34</v>
      </c>
      <c r="G709">
        <v>1</v>
      </c>
      <c r="H709">
        <v>378.74399999999901</v>
      </c>
      <c r="I709" t="s">
        <v>46</v>
      </c>
      <c r="J709" s="1">
        <v>45124</v>
      </c>
      <c r="K709">
        <v>57.9220821285477</v>
      </c>
      <c r="L709" s="1">
        <v>45147</v>
      </c>
      <c r="M709" s="1">
        <v>45144</v>
      </c>
      <c r="N709">
        <v>289.61041064273797</v>
      </c>
      <c r="O709">
        <v>-3</v>
      </c>
      <c r="P709" t="str">
        <f>IF(Table1[[#This Row],[Delivery Delay]]&gt;0,"Late","On Time")</f>
        <v>On Time</v>
      </c>
      <c r="Q709">
        <v>57.922082128547594</v>
      </c>
      <c r="R709">
        <v>0.35118835677407778</v>
      </c>
      <c r="S709">
        <v>3.4529145474455863E-3</v>
      </c>
      <c r="T709">
        <v>0.7</v>
      </c>
      <c r="U709">
        <v>0</v>
      </c>
      <c r="V709">
        <v>28.127354571904924</v>
      </c>
    </row>
    <row r="710" spans="1:22" x14ac:dyDescent="0.35">
      <c r="A710" t="s">
        <v>104</v>
      </c>
      <c r="B710" t="s">
        <v>6</v>
      </c>
      <c r="C710" t="s">
        <v>9</v>
      </c>
      <c r="D710">
        <v>0.75</v>
      </c>
      <c r="E710" t="s">
        <v>35</v>
      </c>
      <c r="F710" t="s">
        <v>34</v>
      </c>
      <c r="G710">
        <v>1</v>
      </c>
      <c r="H710">
        <v>897.14399999999898</v>
      </c>
      <c r="I710" t="s">
        <v>50</v>
      </c>
      <c r="J710" s="1">
        <v>44509</v>
      </c>
      <c r="K710">
        <v>18.180515953544099</v>
      </c>
      <c r="L710" s="1">
        <v>44519</v>
      </c>
      <c r="M710" s="1">
        <v>44522</v>
      </c>
      <c r="N710">
        <v>181.80515953544099</v>
      </c>
      <c r="O710">
        <v>3</v>
      </c>
      <c r="P710" t="str">
        <f>IF(Table1[[#This Row],[Delivery Delay]]&gt;0,"Late","On Time")</f>
        <v>Late</v>
      </c>
      <c r="Q710">
        <v>18.180515953544099</v>
      </c>
      <c r="R710">
        <v>0.64387832437646797</v>
      </c>
      <c r="S710">
        <v>5.5003939522687778E-3</v>
      </c>
      <c r="T710">
        <v>0.75</v>
      </c>
      <c r="U710">
        <v>0</v>
      </c>
      <c r="V710">
        <v>35.542578306097425</v>
      </c>
    </row>
    <row r="711" spans="1:22" x14ac:dyDescent="0.35">
      <c r="A711" t="s">
        <v>105</v>
      </c>
      <c r="B711" t="s">
        <v>12</v>
      </c>
      <c r="C711" t="s">
        <v>9</v>
      </c>
      <c r="D711">
        <v>0.71</v>
      </c>
      <c r="E711" t="s">
        <v>35</v>
      </c>
      <c r="F711" t="s">
        <v>39</v>
      </c>
      <c r="G711">
        <v>0</v>
      </c>
      <c r="H711">
        <v>250.34099999999901</v>
      </c>
      <c r="I711" t="s">
        <v>45</v>
      </c>
      <c r="J711" s="1">
        <v>45163</v>
      </c>
      <c r="K711">
        <v>33.287375245548603</v>
      </c>
      <c r="L711" s="1">
        <v>45175</v>
      </c>
      <c r="M711" s="1">
        <v>45180</v>
      </c>
      <c r="N711">
        <v>332.873752455486</v>
      </c>
      <c r="O711">
        <v>5</v>
      </c>
      <c r="P711" t="str">
        <f>IF(Table1[[#This Row],[Delivery Delay]]&gt;0,"Late","On Time")</f>
        <v>Late</v>
      </c>
      <c r="Q711">
        <v>33.287375245548603</v>
      </c>
      <c r="R711">
        <v>0.34909658337412114</v>
      </c>
      <c r="S711">
        <v>3.0041419385679149E-3</v>
      </c>
      <c r="T711">
        <v>0.71</v>
      </c>
      <c r="U711">
        <v>1</v>
      </c>
      <c r="V711">
        <v>48.372055925639465</v>
      </c>
    </row>
    <row r="712" spans="1:22" x14ac:dyDescent="0.35">
      <c r="A712" t="s">
        <v>106</v>
      </c>
      <c r="B712" t="s">
        <v>13</v>
      </c>
      <c r="C712" t="s">
        <v>11</v>
      </c>
      <c r="D712">
        <v>0.74</v>
      </c>
      <c r="E712" t="s">
        <v>36</v>
      </c>
      <c r="F712" t="s">
        <v>34</v>
      </c>
      <c r="G712">
        <v>1</v>
      </c>
      <c r="H712">
        <v>356.515999999999</v>
      </c>
      <c r="I712" t="s">
        <v>46</v>
      </c>
      <c r="J712" s="1">
        <v>45136</v>
      </c>
      <c r="K712">
        <v>7.2021294620463197</v>
      </c>
      <c r="L712" s="1">
        <v>45150</v>
      </c>
      <c r="M712" s="1">
        <v>45153</v>
      </c>
      <c r="N712">
        <v>79.223424082509496</v>
      </c>
      <c r="O712">
        <v>3</v>
      </c>
      <c r="P712" t="str">
        <f>IF(Table1[[#This Row],[Delivery Delay]]&gt;0,"Late","On Time")</f>
        <v>Late</v>
      </c>
      <c r="Q712">
        <v>7.2021294620463179</v>
      </c>
      <c r="R712">
        <v>0.63064905291907469</v>
      </c>
      <c r="S712">
        <v>1.2622529404416065E-2</v>
      </c>
      <c r="T712">
        <v>0.74</v>
      </c>
      <c r="U712">
        <v>0</v>
      </c>
      <c r="V712">
        <v>35.19165694051398</v>
      </c>
    </row>
    <row r="713" spans="1:22" x14ac:dyDescent="0.35">
      <c r="A713" t="s">
        <v>108</v>
      </c>
      <c r="B713" t="s">
        <v>6</v>
      </c>
      <c r="C713" t="s">
        <v>11</v>
      </c>
      <c r="D713">
        <v>0.88</v>
      </c>
      <c r="E713" t="s">
        <v>35</v>
      </c>
      <c r="F713" t="s">
        <v>39</v>
      </c>
      <c r="G713">
        <v>0</v>
      </c>
      <c r="H713">
        <v>396.387</v>
      </c>
      <c r="I713" t="s">
        <v>51</v>
      </c>
      <c r="J713" s="1">
        <v>44640</v>
      </c>
      <c r="K713">
        <v>57.721982667548701</v>
      </c>
      <c r="L713" s="1">
        <v>44660</v>
      </c>
      <c r="M713" s="1">
        <v>44660</v>
      </c>
      <c r="N713">
        <v>692.66379201058396</v>
      </c>
      <c r="O713">
        <v>0</v>
      </c>
      <c r="P713" t="str">
        <f>IF(Table1[[#This Row],[Delivery Delay]]&gt;0,"Late","On Time")</f>
        <v>On Time</v>
      </c>
      <c r="Q713">
        <v>57.721982667548666</v>
      </c>
      <c r="R713">
        <v>0.25437355249706889</v>
      </c>
      <c r="S713">
        <v>1.4437018529542538E-3</v>
      </c>
      <c r="T713">
        <v>0.88</v>
      </c>
      <c r="U713">
        <v>1</v>
      </c>
      <c r="V713">
        <v>51.530782105530015</v>
      </c>
    </row>
    <row r="714" spans="1:22" x14ac:dyDescent="0.35">
      <c r="A714" t="s">
        <v>102</v>
      </c>
      <c r="B714" t="s">
        <v>6</v>
      </c>
      <c r="C714" t="s">
        <v>9</v>
      </c>
      <c r="D714">
        <v>0.72</v>
      </c>
      <c r="E714" t="s">
        <v>36</v>
      </c>
      <c r="F714" t="s">
        <v>34</v>
      </c>
      <c r="G714">
        <v>1</v>
      </c>
      <c r="H714">
        <v>454.65919999999898</v>
      </c>
      <c r="I714" t="s">
        <v>47</v>
      </c>
      <c r="J714" s="1">
        <v>44563</v>
      </c>
      <c r="K714">
        <v>45.791030946624801</v>
      </c>
      <c r="L714" s="1">
        <v>44581</v>
      </c>
      <c r="M714" s="1">
        <v>44584</v>
      </c>
      <c r="N714">
        <v>457.91030946624801</v>
      </c>
      <c r="O714">
        <v>3</v>
      </c>
      <c r="P714" t="str">
        <f>IF(Table1[[#This Row],[Delivery Delay]]&gt;0,"Late","On Time")</f>
        <v>Late</v>
      </c>
      <c r="Q714">
        <v>45.791030946624801</v>
      </c>
      <c r="R714">
        <v>0.25353226053967959</v>
      </c>
      <c r="S714">
        <v>2.183833775582877E-3</v>
      </c>
      <c r="T714">
        <v>0.72</v>
      </c>
      <c r="U714">
        <v>0</v>
      </c>
      <c r="V714">
        <v>26.736160224061077</v>
      </c>
    </row>
    <row r="715" spans="1:22" x14ac:dyDescent="0.35">
      <c r="A715" t="s">
        <v>99</v>
      </c>
      <c r="B715" t="s">
        <v>14</v>
      </c>
      <c r="C715" t="s">
        <v>5</v>
      </c>
      <c r="D715">
        <v>0.82</v>
      </c>
      <c r="E715" t="s">
        <v>36</v>
      </c>
      <c r="F715" t="s">
        <v>34</v>
      </c>
      <c r="G715">
        <v>1</v>
      </c>
      <c r="H715">
        <v>653.779</v>
      </c>
      <c r="I715" t="s">
        <v>47</v>
      </c>
      <c r="J715" s="1">
        <v>45180</v>
      </c>
      <c r="K715">
        <v>10.7201689641456</v>
      </c>
      <c r="L715" s="1">
        <v>45201</v>
      </c>
      <c r="M715" s="1">
        <v>45204</v>
      </c>
      <c r="N715">
        <v>160.80253446218501</v>
      </c>
      <c r="O715">
        <v>3</v>
      </c>
      <c r="P715" t="str">
        <f>IF(Table1[[#This Row],[Delivery Delay]]&gt;0,"Late","On Time")</f>
        <v>Late</v>
      </c>
      <c r="Q715">
        <v>10.720168964145667</v>
      </c>
      <c r="R715">
        <v>0.69773713739288945</v>
      </c>
      <c r="S715">
        <v>6.2188074544009386E-3</v>
      </c>
      <c r="T715">
        <v>0.82</v>
      </c>
      <c r="U715">
        <v>0</v>
      </c>
      <c r="V715">
        <v>38.741306971489813</v>
      </c>
    </row>
    <row r="716" spans="1:22" x14ac:dyDescent="0.35">
      <c r="A716" t="s">
        <v>103</v>
      </c>
      <c r="B716" t="s">
        <v>6</v>
      </c>
      <c r="C716" t="s">
        <v>7</v>
      </c>
      <c r="D716">
        <v>0.79</v>
      </c>
      <c r="E716" t="s">
        <v>38</v>
      </c>
      <c r="F716" t="s">
        <v>34</v>
      </c>
      <c r="G716">
        <v>1</v>
      </c>
      <c r="H716">
        <v>768.31999999999903</v>
      </c>
      <c r="I716" t="s">
        <v>47</v>
      </c>
      <c r="J716" s="1">
        <v>44538</v>
      </c>
      <c r="K716">
        <v>51.163490195163099</v>
      </c>
      <c r="L716" s="1">
        <v>44548</v>
      </c>
      <c r="M716" s="1">
        <v>44553</v>
      </c>
      <c r="N716">
        <v>562.79839214679396</v>
      </c>
      <c r="O716">
        <v>5</v>
      </c>
      <c r="P716" t="str">
        <f>IF(Table1[[#This Row],[Delivery Delay]]&gt;0,"Late","On Time")</f>
        <v>Late</v>
      </c>
      <c r="Q716">
        <v>51.163490195163085</v>
      </c>
      <c r="R716">
        <v>0.40293685756240982</v>
      </c>
      <c r="S716">
        <v>1.7768352112476741E-3</v>
      </c>
      <c r="T716">
        <v>0.79</v>
      </c>
      <c r="U716">
        <v>0</v>
      </c>
      <c r="V716">
        <v>31.812042207585623</v>
      </c>
    </row>
    <row r="717" spans="1:22" x14ac:dyDescent="0.35">
      <c r="A717" t="s">
        <v>104</v>
      </c>
      <c r="B717" t="s">
        <v>6</v>
      </c>
      <c r="C717" t="s">
        <v>11</v>
      </c>
      <c r="D717">
        <v>0.86</v>
      </c>
      <c r="E717" t="s">
        <v>37</v>
      </c>
      <c r="F717" t="s">
        <v>34</v>
      </c>
      <c r="G717">
        <v>1</v>
      </c>
      <c r="H717">
        <v>154.07339999999999</v>
      </c>
      <c r="I717" t="s">
        <v>45</v>
      </c>
      <c r="J717" s="1">
        <v>45297</v>
      </c>
      <c r="K717">
        <v>76.205508958703902</v>
      </c>
      <c r="L717" s="1">
        <v>45321</v>
      </c>
      <c r="M717" s="1">
        <v>45319</v>
      </c>
      <c r="N717">
        <v>914.466107504447</v>
      </c>
      <c r="O717">
        <v>-2</v>
      </c>
      <c r="P717" t="str">
        <f>IF(Table1[[#This Row],[Delivery Delay]]&gt;0,"Late","On Time")</f>
        <v>On Time</v>
      </c>
      <c r="Q717">
        <v>76.205508958703916</v>
      </c>
      <c r="R717">
        <v>0.65564990335898787</v>
      </c>
      <c r="S717">
        <v>1.0935342401359987E-3</v>
      </c>
      <c r="T717">
        <v>0.86</v>
      </c>
      <c r="U717">
        <v>0</v>
      </c>
      <c r="V717">
        <v>38.945804094383838</v>
      </c>
    </row>
    <row r="718" spans="1:22" x14ac:dyDescent="0.35">
      <c r="A718" t="s">
        <v>105</v>
      </c>
      <c r="B718" t="s">
        <v>8</v>
      </c>
      <c r="C718" t="s">
        <v>11</v>
      </c>
      <c r="D718">
        <v>0.97</v>
      </c>
      <c r="E718" t="s">
        <v>37</v>
      </c>
      <c r="F718" t="s">
        <v>34</v>
      </c>
      <c r="G718">
        <v>1</v>
      </c>
      <c r="H718">
        <v>253.69399999999899</v>
      </c>
      <c r="I718" t="s">
        <v>51</v>
      </c>
      <c r="J718" s="1">
        <v>44880</v>
      </c>
      <c r="K718">
        <v>46.223930340913697</v>
      </c>
      <c r="L718" s="1">
        <v>44904</v>
      </c>
      <c r="M718" s="1">
        <v>44910</v>
      </c>
      <c r="N718">
        <v>369.791442727309</v>
      </c>
      <c r="O718">
        <v>6</v>
      </c>
      <c r="P718" t="str">
        <f>IF(Table1[[#This Row],[Delivery Delay]]&gt;0,"Late","On Time")</f>
        <v>Late</v>
      </c>
      <c r="Q718">
        <v>46.223930340913626</v>
      </c>
      <c r="R718">
        <v>0.238817125955716</v>
      </c>
      <c r="S718">
        <v>2.7042269897451857E-3</v>
      </c>
      <c r="T718">
        <v>0.97</v>
      </c>
      <c r="U718">
        <v>0</v>
      </c>
      <c r="V718">
        <v>33.957469328806674</v>
      </c>
    </row>
    <row r="719" spans="1:22" x14ac:dyDescent="0.35">
      <c r="A719" t="s">
        <v>106</v>
      </c>
      <c r="B719" t="s">
        <v>13</v>
      </c>
      <c r="C719" t="s">
        <v>5</v>
      </c>
      <c r="D719">
        <v>0.89</v>
      </c>
      <c r="E719" t="s">
        <v>37</v>
      </c>
      <c r="F719" t="s">
        <v>34</v>
      </c>
      <c r="G719">
        <v>1</v>
      </c>
      <c r="H719">
        <v>124.21019999999901</v>
      </c>
      <c r="I719" t="s">
        <v>45</v>
      </c>
      <c r="J719" s="1">
        <v>44731</v>
      </c>
      <c r="K719">
        <v>76.062379012932993</v>
      </c>
      <c r="L719" s="1">
        <v>44751</v>
      </c>
      <c r="M719" s="1">
        <v>44748</v>
      </c>
      <c r="N719">
        <v>912.74854815519598</v>
      </c>
      <c r="O719">
        <v>-3</v>
      </c>
      <c r="P719" t="str">
        <f>IF(Table1[[#This Row],[Delivery Delay]]&gt;0,"Late","On Time")</f>
        <v>On Time</v>
      </c>
      <c r="Q719">
        <v>76.062379012932993</v>
      </c>
      <c r="R719">
        <v>0.22472121118042584</v>
      </c>
      <c r="S719">
        <v>1.0955919919249967E-3</v>
      </c>
      <c r="T719">
        <v>0.89</v>
      </c>
      <c r="U719">
        <v>0</v>
      </c>
      <c r="V719">
        <v>31.227291983366268</v>
      </c>
    </row>
    <row r="720" spans="1:22" x14ac:dyDescent="0.35">
      <c r="A720" t="s">
        <v>108</v>
      </c>
      <c r="B720" t="s">
        <v>12</v>
      </c>
      <c r="C720" t="s">
        <v>5</v>
      </c>
      <c r="D720">
        <v>0.68</v>
      </c>
      <c r="E720" t="s">
        <v>37</v>
      </c>
      <c r="F720" t="s">
        <v>34</v>
      </c>
      <c r="G720">
        <v>1</v>
      </c>
      <c r="H720">
        <v>90.562499999999801</v>
      </c>
      <c r="I720" t="s">
        <v>50</v>
      </c>
      <c r="J720" s="1">
        <v>44252</v>
      </c>
      <c r="K720">
        <v>32.625907205720303</v>
      </c>
      <c r="L720" s="1">
        <v>44262</v>
      </c>
      <c r="M720" s="1">
        <v>44260</v>
      </c>
      <c r="N720">
        <v>293.633164851483</v>
      </c>
      <c r="O720">
        <v>-2</v>
      </c>
      <c r="P720" t="str">
        <f>IF(Table1[[#This Row],[Delivery Delay]]&gt;0,"Late","On Time")</f>
        <v>On Time</v>
      </c>
      <c r="Q720">
        <v>32.625907205720331</v>
      </c>
      <c r="R720">
        <v>8.9275812354442291E-2</v>
      </c>
      <c r="S720">
        <v>3.4056098550917808E-3</v>
      </c>
      <c r="T720">
        <v>0.68</v>
      </c>
      <c r="U720">
        <v>0</v>
      </c>
      <c r="V720">
        <v>22.287684542741601</v>
      </c>
    </row>
    <row r="721" spans="1:22" x14ac:dyDescent="0.35">
      <c r="A721" t="s">
        <v>107</v>
      </c>
      <c r="B721" t="s">
        <v>10</v>
      </c>
      <c r="C721" t="s">
        <v>9</v>
      </c>
      <c r="D721">
        <v>0.61</v>
      </c>
      <c r="E721" t="s">
        <v>38</v>
      </c>
      <c r="F721" t="s">
        <v>34</v>
      </c>
      <c r="G721">
        <v>1</v>
      </c>
      <c r="H721">
        <v>-88.474000000000103</v>
      </c>
      <c r="I721" t="s">
        <v>45</v>
      </c>
      <c r="J721" s="1">
        <v>44842</v>
      </c>
      <c r="K721">
        <v>57.095886173998203</v>
      </c>
      <c r="L721" s="1">
        <v>44864</v>
      </c>
      <c r="M721" s="1">
        <v>44866</v>
      </c>
      <c r="N721">
        <v>513.86297556598299</v>
      </c>
      <c r="O721">
        <v>2</v>
      </c>
      <c r="P721" t="str">
        <f>IF(Table1[[#This Row],[Delivery Delay]]&gt;0,"Late","On Time")</f>
        <v>Late</v>
      </c>
      <c r="Q721">
        <v>57.09588617399811</v>
      </c>
      <c r="R721">
        <v>0</v>
      </c>
      <c r="S721">
        <v>1.9460440770198947E-3</v>
      </c>
      <c r="T721">
        <v>0.61</v>
      </c>
      <c r="U721">
        <v>0</v>
      </c>
      <c r="V721">
        <v>18.358381322310596</v>
      </c>
    </row>
    <row r="722" spans="1:22" x14ac:dyDescent="0.35">
      <c r="A722" t="s">
        <v>100</v>
      </c>
      <c r="B722" t="s">
        <v>14</v>
      </c>
      <c r="C722" t="s">
        <v>9</v>
      </c>
      <c r="D722">
        <v>0.7</v>
      </c>
      <c r="E722" t="s">
        <v>35</v>
      </c>
      <c r="F722" t="s">
        <v>39</v>
      </c>
      <c r="G722">
        <v>0</v>
      </c>
      <c r="H722">
        <v>285.91799999999898</v>
      </c>
      <c r="I722" t="s">
        <v>51</v>
      </c>
      <c r="J722" s="1">
        <v>44997</v>
      </c>
      <c r="K722">
        <v>24.539762220969301</v>
      </c>
      <c r="L722" s="1">
        <v>45014</v>
      </c>
      <c r="M722" s="1">
        <v>45015</v>
      </c>
      <c r="N722">
        <v>196.31809776775401</v>
      </c>
      <c r="O722">
        <v>1</v>
      </c>
      <c r="P722" t="str">
        <f>IF(Table1[[#This Row],[Delivery Delay]]&gt;0,"Late","On Time")</f>
        <v>Late</v>
      </c>
      <c r="Q722">
        <v>24.539762220969251</v>
      </c>
      <c r="R722">
        <v>0.66361686720142521</v>
      </c>
      <c r="S722">
        <v>5.0937738872297378E-3</v>
      </c>
      <c r="T722">
        <v>0.7</v>
      </c>
      <c r="U722">
        <v>1</v>
      </c>
      <c r="V722">
        <v>54.425150560645399</v>
      </c>
    </row>
    <row r="723" spans="1:22" x14ac:dyDescent="0.35">
      <c r="A723" t="s">
        <v>101</v>
      </c>
      <c r="B723" t="s">
        <v>8</v>
      </c>
      <c r="C723" t="s">
        <v>7</v>
      </c>
      <c r="D723">
        <v>0.83</v>
      </c>
      <c r="E723" t="s">
        <v>38</v>
      </c>
      <c r="F723" t="s">
        <v>39</v>
      </c>
      <c r="G723">
        <v>0</v>
      </c>
      <c r="H723">
        <v>339.00119999999902</v>
      </c>
      <c r="I723" t="s">
        <v>51</v>
      </c>
      <c r="J723" s="1">
        <v>45225</v>
      </c>
      <c r="K723">
        <v>14.399388856702799</v>
      </c>
      <c r="L723" s="1">
        <v>45249</v>
      </c>
      <c r="M723" s="1">
        <v>45253</v>
      </c>
      <c r="N723">
        <v>86.396333140217095</v>
      </c>
      <c r="O723">
        <v>4</v>
      </c>
      <c r="P723" t="str">
        <f>IF(Table1[[#This Row],[Delivery Delay]]&gt;0,"Late","On Time")</f>
        <v>Late</v>
      </c>
      <c r="Q723">
        <v>14.399388856702849</v>
      </c>
      <c r="R723">
        <v>0.265695494290623</v>
      </c>
      <c r="S723">
        <v>1.1574565304490967E-2</v>
      </c>
      <c r="T723">
        <v>0.83</v>
      </c>
      <c r="U723">
        <v>1</v>
      </c>
      <c r="V723">
        <v>50.561146844947189</v>
      </c>
    </row>
    <row r="724" spans="1:22" x14ac:dyDescent="0.35">
      <c r="A724" t="s">
        <v>102</v>
      </c>
      <c r="B724" t="s">
        <v>15</v>
      </c>
      <c r="C724" t="s">
        <v>7</v>
      </c>
      <c r="D724">
        <v>0.62</v>
      </c>
      <c r="E724" t="s">
        <v>37</v>
      </c>
      <c r="F724" t="s">
        <v>34</v>
      </c>
      <c r="G724">
        <v>1</v>
      </c>
      <c r="H724">
        <v>261.11799999999897</v>
      </c>
      <c r="I724" t="s">
        <v>50</v>
      </c>
      <c r="J724" s="1">
        <v>44745</v>
      </c>
      <c r="K724">
        <v>76.638958954565695</v>
      </c>
      <c r="L724" s="1">
        <v>44761</v>
      </c>
      <c r="M724" s="1">
        <v>44766</v>
      </c>
      <c r="N724">
        <v>919.66750745478896</v>
      </c>
      <c r="O724">
        <v>5</v>
      </c>
      <c r="P724" t="str">
        <f>IF(Table1[[#This Row],[Delivery Delay]]&gt;0,"Late","On Time")</f>
        <v>Late</v>
      </c>
      <c r="Q724">
        <v>76.638958954565751</v>
      </c>
      <c r="R724">
        <v>0.26875936630271785</v>
      </c>
      <c r="S724">
        <v>1.0873494952186949E-3</v>
      </c>
      <c r="T724">
        <v>0.62</v>
      </c>
      <c r="U724">
        <v>0</v>
      </c>
      <c r="V724">
        <v>24.007807810910915</v>
      </c>
    </row>
    <row r="725" spans="1:22" x14ac:dyDescent="0.35">
      <c r="A725" t="s">
        <v>99</v>
      </c>
      <c r="B725" t="s">
        <v>13</v>
      </c>
      <c r="C725" t="s">
        <v>9</v>
      </c>
      <c r="D725">
        <v>0.79</v>
      </c>
      <c r="E725" t="s">
        <v>37</v>
      </c>
      <c r="F725" t="s">
        <v>34</v>
      </c>
      <c r="G725">
        <v>1</v>
      </c>
      <c r="H725">
        <v>37.379999999999903</v>
      </c>
      <c r="I725" t="s">
        <v>51</v>
      </c>
      <c r="J725" s="1">
        <v>44345</v>
      </c>
      <c r="K725">
        <v>26.4713172899977</v>
      </c>
      <c r="L725" s="1">
        <v>44356</v>
      </c>
      <c r="M725" s="1">
        <v>44357</v>
      </c>
      <c r="N725">
        <v>317.65580747997302</v>
      </c>
      <c r="O725">
        <v>1</v>
      </c>
      <c r="P725" t="str">
        <f>IF(Table1[[#This Row],[Delivery Delay]]&gt;0,"Late","On Time")</f>
        <v>Late</v>
      </c>
      <c r="Q725">
        <v>26.471317289997753</v>
      </c>
      <c r="R725">
        <v>0.15127478753541038</v>
      </c>
      <c r="S725">
        <v>3.1480614440302533E-3</v>
      </c>
      <c r="T725">
        <v>0.79</v>
      </c>
      <c r="U725">
        <v>0</v>
      </c>
      <c r="V725">
        <v>26.819937594029113</v>
      </c>
    </row>
    <row r="726" spans="1:22" x14ac:dyDescent="0.35">
      <c r="A726" t="s">
        <v>103</v>
      </c>
      <c r="B726" t="s">
        <v>12</v>
      </c>
      <c r="C726" t="s">
        <v>9</v>
      </c>
      <c r="D726">
        <v>0.83</v>
      </c>
      <c r="E726" t="s">
        <v>37</v>
      </c>
      <c r="F726" t="s">
        <v>34</v>
      </c>
      <c r="G726">
        <v>1</v>
      </c>
      <c r="H726">
        <v>47.245199999999997</v>
      </c>
      <c r="I726" t="s">
        <v>51</v>
      </c>
      <c r="J726" s="1">
        <v>44975</v>
      </c>
      <c r="K726">
        <v>9.4627824025546499</v>
      </c>
      <c r="L726" s="1">
        <v>44990</v>
      </c>
      <c r="M726" s="1">
        <v>44988</v>
      </c>
      <c r="N726">
        <v>132.47895363576501</v>
      </c>
      <c r="O726">
        <v>-2</v>
      </c>
      <c r="P726" t="str">
        <f>IF(Table1[[#This Row],[Delivery Delay]]&gt;0,"Late","On Time")</f>
        <v>On Time</v>
      </c>
      <c r="Q726">
        <v>9.4627824025546428</v>
      </c>
      <c r="R726">
        <v>0.47523115177558362</v>
      </c>
      <c r="S726">
        <v>7.5483687978800014E-3</v>
      </c>
      <c r="T726">
        <v>0.83</v>
      </c>
      <c r="U726">
        <v>0</v>
      </c>
      <c r="V726">
        <v>34.631074099448064</v>
      </c>
    </row>
    <row r="727" spans="1:22" x14ac:dyDescent="0.35">
      <c r="A727" t="s">
        <v>104</v>
      </c>
      <c r="B727" t="s">
        <v>12</v>
      </c>
      <c r="C727" t="s">
        <v>11</v>
      </c>
      <c r="D727">
        <v>0.73</v>
      </c>
      <c r="E727" t="s">
        <v>36</v>
      </c>
      <c r="F727" t="s">
        <v>34</v>
      </c>
      <c r="G727">
        <v>1</v>
      </c>
      <c r="H727">
        <v>442.36700000000002</v>
      </c>
      <c r="I727" t="s">
        <v>47</v>
      </c>
      <c r="J727" s="1">
        <v>45380</v>
      </c>
      <c r="K727">
        <v>10.9125590727668</v>
      </c>
      <c r="L727" s="1">
        <v>45391</v>
      </c>
      <c r="M727" s="1">
        <v>45395</v>
      </c>
      <c r="N727">
        <v>109.125590727668</v>
      </c>
      <c r="O727">
        <v>4</v>
      </c>
      <c r="P727" t="str">
        <f>IF(Table1[[#This Row],[Delivery Delay]]&gt;0,"Late","On Time")</f>
        <v>Late</v>
      </c>
      <c r="Q727">
        <v>10.9125590727668</v>
      </c>
      <c r="R727">
        <v>0.42333107169891487</v>
      </c>
      <c r="S727">
        <v>9.1637533719802107E-3</v>
      </c>
      <c r="T727">
        <v>0.73</v>
      </c>
      <c r="U727">
        <v>0</v>
      </c>
      <c r="V727">
        <v>30.641534035137703</v>
      </c>
    </row>
    <row r="728" spans="1:22" x14ac:dyDescent="0.35">
      <c r="A728" t="s">
        <v>105</v>
      </c>
      <c r="B728" t="s">
        <v>15</v>
      </c>
      <c r="C728" t="s">
        <v>9</v>
      </c>
      <c r="D728">
        <v>0.9</v>
      </c>
      <c r="E728" t="s">
        <v>35</v>
      </c>
      <c r="F728" t="s">
        <v>34</v>
      </c>
      <c r="G728">
        <v>1</v>
      </c>
      <c r="H728">
        <v>195.26400000000001</v>
      </c>
      <c r="I728" t="s">
        <v>50</v>
      </c>
      <c r="J728" s="1">
        <v>44434</v>
      </c>
      <c r="K728">
        <v>27.607216555427701</v>
      </c>
      <c r="L728" s="1">
        <v>44447</v>
      </c>
      <c r="M728" s="1">
        <v>44452</v>
      </c>
      <c r="N728">
        <v>165.64329933256599</v>
      </c>
      <c r="O728">
        <v>5</v>
      </c>
      <c r="P728" t="str">
        <f>IF(Table1[[#This Row],[Delivery Delay]]&gt;0,"Late","On Time")</f>
        <v>Late</v>
      </c>
      <c r="Q728">
        <v>27.607216555427666</v>
      </c>
      <c r="R728">
        <v>0.25697230030637064</v>
      </c>
      <c r="S728">
        <v>6.0370688342320216E-3</v>
      </c>
      <c r="T728">
        <v>0.9</v>
      </c>
      <c r="U728">
        <v>0</v>
      </c>
      <c r="V728">
        <v>32.320558071154373</v>
      </c>
    </row>
    <row r="729" spans="1:22" x14ac:dyDescent="0.35">
      <c r="A729" t="s">
        <v>106</v>
      </c>
      <c r="B729" t="s">
        <v>10</v>
      </c>
      <c r="C729" t="s">
        <v>11</v>
      </c>
      <c r="D729">
        <v>0.64</v>
      </c>
      <c r="E729" t="s">
        <v>36</v>
      </c>
      <c r="F729" t="s">
        <v>34</v>
      </c>
      <c r="G729">
        <v>1</v>
      </c>
      <c r="H729">
        <v>-34.342199999999899</v>
      </c>
      <c r="I729" t="s">
        <v>49</v>
      </c>
      <c r="J729" s="1">
        <v>44610</v>
      </c>
      <c r="K729">
        <v>31.738197188830299</v>
      </c>
      <c r="L729" s="1">
        <v>44622</v>
      </c>
      <c r="M729" s="1">
        <v>44627</v>
      </c>
      <c r="N729">
        <v>317.38197188830299</v>
      </c>
      <c r="O729">
        <v>5</v>
      </c>
      <c r="P729" t="str">
        <f>IF(Table1[[#This Row],[Delivery Delay]]&gt;0,"Late","On Time")</f>
        <v>Late</v>
      </c>
      <c r="Q729">
        <v>31.738197188830299</v>
      </c>
      <c r="R729">
        <v>0</v>
      </c>
      <c r="S729">
        <v>3.1507775758351278E-3</v>
      </c>
      <c r="T729">
        <v>0.64</v>
      </c>
      <c r="U729">
        <v>0</v>
      </c>
      <c r="V729">
        <v>19.294523327275055</v>
      </c>
    </row>
    <row r="730" spans="1:22" x14ac:dyDescent="0.35">
      <c r="A730" t="s">
        <v>108</v>
      </c>
      <c r="B730" t="s">
        <v>6</v>
      </c>
      <c r="C730" t="s">
        <v>5</v>
      </c>
      <c r="D730">
        <v>0.63</v>
      </c>
      <c r="E730" t="s">
        <v>38</v>
      </c>
      <c r="F730" t="s">
        <v>34</v>
      </c>
      <c r="G730">
        <v>1</v>
      </c>
      <c r="H730">
        <v>400.01639999999998</v>
      </c>
      <c r="I730" t="s">
        <v>49</v>
      </c>
      <c r="J730" s="1">
        <v>44369</v>
      </c>
      <c r="K730">
        <v>63.551859509602203</v>
      </c>
      <c r="L730" s="1">
        <v>44385</v>
      </c>
      <c r="M730" s="1">
        <v>44383</v>
      </c>
      <c r="N730">
        <v>1016.82975215363</v>
      </c>
      <c r="O730">
        <v>-2</v>
      </c>
      <c r="P730" t="str">
        <f>IF(Table1[[#This Row],[Delivery Delay]]&gt;0,"Late","On Time")</f>
        <v>On Time</v>
      </c>
      <c r="Q730">
        <v>63.551859509601876</v>
      </c>
      <c r="R730">
        <v>0.23884621943431114</v>
      </c>
      <c r="S730">
        <v>9.8344880043292897E-4</v>
      </c>
      <c r="T730">
        <v>0.63</v>
      </c>
      <c r="U730">
        <v>0</v>
      </c>
      <c r="V730">
        <v>23.70642785269921</v>
      </c>
    </row>
    <row r="731" spans="1:22" x14ac:dyDescent="0.35">
      <c r="A731" t="s">
        <v>102</v>
      </c>
      <c r="B731" t="s">
        <v>8</v>
      </c>
      <c r="C731" t="s">
        <v>9</v>
      </c>
      <c r="D731">
        <v>0.88</v>
      </c>
      <c r="E731" t="s">
        <v>37</v>
      </c>
      <c r="F731" t="s">
        <v>34</v>
      </c>
      <c r="G731">
        <v>1</v>
      </c>
      <c r="H731">
        <v>213.16659999999999</v>
      </c>
      <c r="I731" t="s">
        <v>51</v>
      </c>
      <c r="J731" s="1">
        <v>44199</v>
      </c>
      <c r="K731">
        <v>5.2853297245392996</v>
      </c>
      <c r="L731" s="1">
        <v>44209</v>
      </c>
      <c r="M731" s="1">
        <v>44212</v>
      </c>
      <c r="N731">
        <v>84.565275592628794</v>
      </c>
      <c r="O731">
        <v>3</v>
      </c>
      <c r="P731" t="str">
        <f>IF(Table1[[#This Row],[Delivery Delay]]&gt;0,"Late","On Time")</f>
        <v>Late</v>
      </c>
      <c r="Q731">
        <v>5.2853297245392996</v>
      </c>
      <c r="R731">
        <v>0.65839589383216179</v>
      </c>
      <c r="S731">
        <v>1.1825184663469197E-2</v>
      </c>
      <c r="T731">
        <v>0.88</v>
      </c>
      <c r="U731">
        <v>0</v>
      </c>
      <c r="V731">
        <v>39.922673416547319</v>
      </c>
    </row>
    <row r="732" spans="1:22" x14ac:dyDescent="0.35">
      <c r="A732" t="s">
        <v>99</v>
      </c>
      <c r="B732" t="s">
        <v>4</v>
      </c>
      <c r="C732" t="s">
        <v>5</v>
      </c>
      <c r="D732">
        <v>0.79</v>
      </c>
      <c r="E732" t="s">
        <v>36</v>
      </c>
      <c r="F732" t="s">
        <v>34</v>
      </c>
      <c r="G732">
        <v>1</v>
      </c>
      <c r="H732">
        <v>-6.8507999999999596</v>
      </c>
      <c r="I732" t="s">
        <v>49</v>
      </c>
      <c r="J732" s="1">
        <v>44445</v>
      </c>
      <c r="K732">
        <v>75.756015937392107</v>
      </c>
      <c r="L732" s="1">
        <v>44464</v>
      </c>
      <c r="M732" s="1">
        <v>44461</v>
      </c>
      <c r="N732">
        <v>1212.0962549982701</v>
      </c>
      <c r="O732">
        <v>-3</v>
      </c>
      <c r="P732" t="str">
        <f>IF(Table1[[#This Row],[Delivery Delay]]&gt;0,"Late","On Time")</f>
        <v>On Time</v>
      </c>
      <c r="Q732">
        <v>75.756015937391879</v>
      </c>
      <c r="R732">
        <v>0</v>
      </c>
      <c r="S732">
        <v>8.250169867915541E-4</v>
      </c>
      <c r="T732">
        <v>0.79</v>
      </c>
      <c r="U732">
        <v>0</v>
      </c>
      <c r="V732">
        <v>23.724750509603744</v>
      </c>
    </row>
    <row r="733" spans="1:22" x14ac:dyDescent="0.35">
      <c r="A733" t="s">
        <v>103</v>
      </c>
      <c r="B733" t="s">
        <v>14</v>
      </c>
      <c r="C733" t="s">
        <v>7</v>
      </c>
      <c r="D733">
        <v>0.87</v>
      </c>
      <c r="E733" t="s">
        <v>36</v>
      </c>
      <c r="F733" t="s">
        <v>34</v>
      </c>
      <c r="G733">
        <v>1</v>
      </c>
      <c r="H733">
        <v>399.90599999999898</v>
      </c>
      <c r="I733" t="s">
        <v>49</v>
      </c>
      <c r="J733" s="1">
        <v>44832</v>
      </c>
      <c r="K733">
        <v>12.6029416957644</v>
      </c>
      <c r="L733" s="1">
        <v>44845</v>
      </c>
      <c r="M733" s="1">
        <v>44846</v>
      </c>
      <c r="N733">
        <v>163.838242044937</v>
      </c>
      <c r="O733">
        <v>1</v>
      </c>
      <c r="P733" t="str">
        <f>IF(Table1[[#This Row],[Delivery Delay]]&gt;0,"Late","On Time")</f>
        <v>Late</v>
      </c>
      <c r="Q733">
        <v>12.602941695764384</v>
      </c>
      <c r="R733">
        <v>0.3490293829630155</v>
      </c>
      <c r="S733">
        <v>6.1035811146320975E-3</v>
      </c>
      <c r="T733">
        <v>0.87</v>
      </c>
      <c r="U733">
        <v>0</v>
      </c>
      <c r="V733">
        <v>33.263695092699272</v>
      </c>
    </row>
    <row r="734" spans="1:22" x14ac:dyDescent="0.35">
      <c r="A734" t="s">
        <v>104</v>
      </c>
      <c r="B734" t="s">
        <v>4</v>
      </c>
      <c r="C734" t="s">
        <v>7</v>
      </c>
      <c r="D734">
        <v>0.77</v>
      </c>
      <c r="E734" t="s">
        <v>38</v>
      </c>
      <c r="F734" t="s">
        <v>34</v>
      </c>
      <c r="G734">
        <v>1</v>
      </c>
      <c r="H734">
        <v>18.515999999999998</v>
      </c>
      <c r="I734" t="s">
        <v>51</v>
      </c>
      <c r="J734" s="1">
        <v>45098</v>
      </c>
      <c r="K734">
        <v>66.7242293619815</v>
      </c>
      <c r="L734" s="1">
        <v>45109</v>
      </c>
      <c r="M734" s="1">
        <v>45115</v>
      </c>
      <c r="N734">
        <v>800.69075234377794</v>
      </c>
      <c r="O734">
        <v>6</v>
      </c>
      <c r="P734" t="str">
        <f>IF(Table1[[#This Row],[Delivery Delay]]&gt;0,"Late","On Time")</f>
        <v>Late</v>
      </c>
      <c r="Q734">
        <v>66.7242293619815</v>
      </c>
      <c r="R734">
        <v>9.2249745909643466E-2</v>
      </c>
      <c r="S734">
        <v>1.2489216305706105E-3</v>
      </c>
      <c r="T734">
        <v>0.77</v>
      </c>
      <c r="U734">
        <v>0</v>
      </c>
      <c r="V734">
        <v>24.982462567109987</v>
      </c>
    </row>
    <row r="735" spans="1:22" x14ac:dyDescent="0.35">
      <c r="A735" t="s">
        <v>105</v>
      </c>
      <c r="B735" t="s">
        <v>15</v>
      </c>
      <c r="C735" t="s">
        <v>9</v>
      </c>
      <c r="D735">
        <v>0.7</v>
      </c>
      <c r="E735" t="s">
        <v>35</v>
      </c>
      <c r="F735" t="s">
        <v>34</v>
      </c>
      <c r="G735">
        <v>1</v>
      </c>
      <c r="H735">
        <v>-108.045599999999</v>
      </c>
      <c r="I735" t="s">
        <v>49</v>
      </c>
      <c r="J735" s="1">
        <v>44990</v>
      </c>
      <c r="K735">
        <v>3.5556541688581702</v>
      </c>
      <c r="L735" s="1">
        <v>45011</v>
      </c>
      <c r="M735" s="1">
        <v>45013</v>
      </c>
      <c r="N735">
        <v>35.556541688581703</v>
      </c>
      <c r="O735">
        <v>2</v>
      </c>
      <c r="P735" t="str">
        <f>IF(Table1[[#This Row],[Delivery Delay]]&gt;0,"Late","On Time")</f>
        <v>Late</v>
      </c>
      <c r="Q735">
        <v>3.5556541688581702</v>
      </c>
      <c r="R735">
        <v>0</v>
      </c>
      <c r="S735">
        <v>2.8124219975001974E-2</v>
      </c>
      <c r="T735">
        <v>0.7</v>
      </c>
      <c r="U735">
        <v>0</v>
      </c>
      <c r="V735">
        <v>21.843726599250058</v>
      </c>
    </row>
    <row r="736" spans="1:22" x14ac:dyDescent="0.35">
      <c r="A736" t="s">
        <v>106</v>
      </c>
      <c r="B736" t="s">
        <v>12</v>
      </c>
      <c r="C736" t="s">
        <v>9</v>
      </c>
      <c r="D736">
        <v>0.92</v>
      </c>
      <c r="E736" t="s">
        <v>38</v>
      </c>
      <c r="F736" t="s">
        <v>34</v>
      </c>
      <c r="G736">
        <v>1</v>
      </c>
      <c r="H736">
        <v>629.26599999999996</v>
      </c>
      <c r="I736" t="s">
        <v>45</v>
      </c>
      <c r="J736" s="1">
        <v>44298</v>
      </c>
      <c r="K736">
        <v>58.495190557896599</v>
      </c>
      <c r="L736" s="1">
        <v>44321</v>
      </c>
      <c r="M736" s="1">
        <v>44327</v>
      </c>
      <c r="N736">
        <v>350.97114334737898</v>
      </c>
      <c r="O736">
        <v>6</v>
      </c>
      <c r="P736" t="str">
        <f>IF(Table1[[#This Row],[Delivery Delay]]&gt;0,"Late","On Time")</f>
        <v>Late</v>
      </c>
      <c r="Q736">
        <v>58.4951905578965</v>
      </c>
      <c r="R736">
        <v>0.28704038214515093</v>
      </c>
      <c r="S736">
        <v>2.8492370924359297E-3</v>
      </c>
      <c r="T736">
        <v>0.92</v>
      </c>
      <c r="U736">
        <v>0</v>
      </c>
      <c r="V736">
        <v>33.4262847556761</v>
      </c>
    </row>
    <row r="737" spans="1:22" x14ac:dyDescent="0.35">
      <c r="A737" t="s">
        <v>108</v>
      </c>
      <c r="B737" t="s">
        <v>10</v>
      </c>
      <c r="C737" t="s">
        <v>5</v>
      </c>
      <c r="D737">
        <v>0.91</v>
      </c>
      <c r="E737" t="s">
        <v>36</v>
      </c>
      <c r="F737" t="s">
        <v>34</v>
      </c>
      <c r="G737">
        <v>1</v>
      </c>
      <c r="H737">
        <v>141.94720000000001</v>
      </c>
      <c r="I737" t="s">
        <v>46</v>
      </c>
      <c r="J737" s="1">
        <v>44391</v>
      </c>
      <c r="K737">
        <v>78.113506291191896</v>
      </c>
      <c r="L737" s="1">
        <v>44408</v>
      </c>
      <c r="M737" s="1">
        <v>44408</v>
      </c>
      <c r="N737">
        <v>546.79454403834302</v>
      </c>
      <c r="O737">
        <v>0</v>
      </c>
      <c r="P737" t="str">
        <f>IF(Table1[[#This Row],[Delivery Delay]]&gt;0,"Late","On Time")</f>
        <v>On Time</v>
      </c>
      <c r="Q737">
        <v>78.113506291191854</v>
      </c>
      <c r="R737">
        <v>0.32536757290027762</v>
      </c>
      <c r="S737">
        <v>1.8288404866195532E-3</v>
      </c>
      <c r="T737">
        <v>0.91</v>
      </c>
      <c r="U737">
        <v>0</v>
      </c>
      <c r="V737">
        <v>33.862216672604141</v>
      </c>
    </row>
    <row r="738" spans="1:22" x14ac:dyDescent="0.35">
      <c r="A738" t="s">
        <v>107</v>
      </c>
      <c r="B738" t="s">
        <v>12</v>
      </c>
      <c r="C738" t="s">
        <v>11</v>
      </c>
      <c r="D738">
        <v>0.87</v>
      </c>
      <c r="E738" t="s">
        <v>37</v>
      </c>
      <c r="F738" t="s">
        <v>39</v>
      </c>
      <c r="G738">
        <v>0</v>
      </c>
      <c r="H738">
        <v>142.17320000000001</v>
      </c>
      <c r="I738" t="s">
        <v>50</v>
      </c>
      <c r="J738" s="1">
        <v>44389</v>
      </c>
      <c r="K738">
        <v>43.754799149877798</v>
      </c>
      <c r="L738" s="1">
        <v>44401</v>
      </c>
      <c r="M738" s="1">
        <v>44407</v>
      </c>
      <c r="N738">
        <v>437.547991498778</v>
      </c>
      <c r="O738">
        <v>6</v>
      </c>
      <c r="P738" t="str">
        <f>IF(Table1[[#This Row],[Delivery Delay]]&gt;0,"Late","On Time")</f>
        <v>Late</v>
      </c>
      <c r="Q738">
        <v>43.754799149877798</v>
      </c>
      <c r="R738">
        <v>0.8348730307493194</v>
      </c>
      <c r="S738">
        <v>2.2854635821195233E-3</v>
      </c>
      <c r="T738">
        <v>0.87</v>
      </c>
      <c r="U738">
        <v>1</v>
      </c>
      <c r="V738">
        <v>62.866024522449983</v>
      </c>
    </row>
    <row r="739" spans="1:22" x14ac:dyDescent="0.35">
      <c r="A739" t="s">
        <v>100</v>
      </c>
      <c r="B739" t="s">
        <v>14</v>
      </c>
      <c r="C739" t="s">
        <v>7</v>
      </c>
      <c r="D739">
        <v>0.71</v>
      </c>
      <c r="E739" t="s">
        <v>37</v>
      </c>
      <c r="F739" t="s">
        <v>34</v>
      </c>
      <c r="G739">
        <v>1</v>
      </c>
      <c r="H739">
        <v>855.67929999999899</v>
      </c>
      <c r="I739" t="s">
        <v>46</v>
      </c>
      <c r="J739" s="1">
        <v>44608</v>
      </c>
      <c r="K739">
        <v>48.626522284026301</v>
      </c>
      <c r="L739" s="1">
        <v>44624</v>
      </c>
      <c r="M739" s="1">
        <v>44628</v>
      </c>
      <c r="N739">
        <v>437.63870055623602</v>
      </c>
      <c r="O739">
        <v>4</v>
      </c>
      <c r="P739" t="str">
        <f>IF(Table1[[#This Row],[Delivery Delay]]&gt;0,"Late","On Time")</f>
        <v>Late</v>
      </c>
      <c r="Q739">
        <v>48.626522284026223</v>
      </c>
      <c r="R739">
        <v>0.71198072804516088</v>
      </c>
      <c r="S739">
        <v>2.2849898757331248E-3</v>
      </c>
      <c r="T739">
        <v>0.71</v>
      </c>
      <c r="U739">
        <v>0</v>
      </c>
      <c r="V739">
        <v>35.608164257175211</v>
      </c>
    </row>
    <row r="740" spans="1:22" x14ac:dyDescent="0.35">
      <c r="A740" t="s">
        <v>101</v>
      </c>
      <c r="B740" t="s">
        <v>12</v>
      </c>
      <c r="C740" t="s">
        <v>7</v>
      </c>
      <c r="D740">
        <v>0.83</v>
      </c>
      <c r="E740" t="s">
        <v>38</v>
      </c>
      <c r="F740" t="s">
        <v>34</v>
      </c>
      <c r="G740">
        <v>1</v>
      </c>
      <c r="H740">
        <v>257.18759999999997</v>
      </c>
      <c r="I740" t="s">
        <v>51</v>
      </c>
      <c r="J740" s="1">
        <v>44738</v>
      </c>
      <c r="K740">
        <v>68.383593291142802</v>
      </c>
      <c r="L740" s="1">
        <v>44760</v>
      </c>
      <c r="M740" s="1">
        <v>44760</v>
      </c>
      <c r="N740">
        <v>957.37030607600002</v>
      </c>
      <c r="O740">
        <v>0</v>
      </c>
      <c r="P740" t="str">
        <f>IF(Table1[[#This Row],[Delivery Delay]]&gt;0,"Late","On Time")</f>
        <v>On Time</v>
      </c>
      <c r="Q740">
        <v>68.383593291142859</v>
      </c>
      <c r="R740">
        <v>0.18091321402614896</v>
      </c>
      <c r="S740">
        <v>1.0445279048801163E-3</v>
      </c>
      <c r="T740">
        <v>0.83</v>
      </c>
      <c r="U740">
        <v>0</v>
      </c>
      <c r="V740">
        <v>28.549600117669382</v>
      </c>
    </row>
    <row r="741" spans="1:22" x14ac:dyDescent="0.35">
      <c r="A741" t="s">
        <v>102</v>
      </c>
      <c r="B741" t="s">
        <v>12</v>
      </c>
      <c r="C741" t="s">
        <v>11</v>
      </c>
      <c r="D741">
        <v>0.74</v>
      </c>
      <c r="E741" t="s">
        <v>35</v>
      </c>
      <c r="F741" t="s">
        <v>34</v>
      </c>
      <c r="G741">
        <v>1</v>
      </c>
      <c r="H741">
        <v>218.64</v>
      </c>
      <c r="I741" t="s">
        <v>47</v>
      </c>
      <c r="J741" s="1">
        <v>44877</v>
      </c>
      <c r="K741">
        <v>13.8934783036217</v>
      </c>
      <c r="L741" s="1">
        <v>44896</v>
      </c>
      <c r="M741" s="1">
        <v>44901</v>
      </c>
      <c r="N741">
        <v>152.828261339839</v>
      </c>
      <c r="O741">
        <v>5</v>
      </c>
      <c r="P741" t="str">
        <f>IF(Table1[[#This Row],[Delivery Delay]]&gt;0,"Late","On Time")</f>
        <v>Late</v>
      </c>
      <c r="Q741">
        <v>13.893478303621727</v>
      </c>
      <c r="R741">
        <v>0.32202191587133261</v>
      </c>
      <c r="S741">
        <v>6.543292393913545E-3</v>
      </c>
      <c r="T741">
        <v>0.74</v>
      </c>
      <c r="U741">
        <v>0</v>
      </c>
      <c r="V741">
        <v>28.836737089244057</v>
      </c>
    </row>
    <row r="742" spans="1:22" x14ac:dyDescent="0.35">
      <c r="A742" t="s">
        <v>99</v>
      </c>
      <c r="B742" t="s">
        <v>14</v>
      </c>
      <c r="C742" t="s">
        <v>5</v>
      </c>
      <c r="D742">
        <v>0.64</v>
      </c>
      <c r="E742" t="s">
        <v>35</v>
      </c>
      <c r="F742" t="s">
        <v>34</v>
      </c>
      <c r="G742">
        <v>1</v>
      </c>
      <c r="H742">
        <v>525.92259999999999</v>
      </c>
      <c r="I742" t="s">
        <v>50</v>
      </c>
      <c r="J742" s="1">
        <v>44756</v>
      </c>
      <c r="K742">
        <v>21.474759213000102</v>
      </c>
      <c r="L742" s="1">
        <v>44780</v>
      </c>
      <c r="M742" s="1">
        <v>44778</v>
      </c>
      <c r="N742">
        <v>300.64662898200203</v>
      </c>
      <c r="O742">
        <v>-2</v>
      </c>
      <c r="P742" t="str">
        <f>IF(Table1[[#This Row],[Delivery Delay]]&gt;0,"Late","On Time")</f>
        <v>On Time</v>
      </c>
      <c r="Q742">
        <v>21.474759213000144</v>
      </c>
      <c r="R742">
        <v>0.86040141178949581</v>
      </c>
      <c r="S742">
        <v>3.3261640198196407E-3</v>
      </c>
      <c r="T742">
        <v>0.64</v>
      </c>
      <c r="U742">
        <v>0</v>
      </c>
      <c r="V742">
        <v>36.507813156384508</v>
      </c>
    </row>
    <row r="743" spans="1:22" x14ac:dyDescent="0.35">
      <c r="A743" t="s">
        <v>103</v>
      </c>
      <c r="B743" t="s">
        <v>8</v>
      </c>
      <c r="C743" t="s">
        <v>5</v>
      </c>
      <c r="D743">
        <v>0.96</v>
      </c>
      <c r="E743" t="s">
        <v>36</v>
      </c>
      <c r="F743" t="s">
        <v>34</v>
      </c>
      <c r="G743">
        <v>1</v>
      </c>
      <c r="H743">
        <v>669.75720000000001</v>
      </c>
      <c r="I743" t="s">
        <v>51</v>
      </c>
      <c r="J743" s="1">
        <v>45113</v>
      </c>
      <c r="K743">
        <v>40.539596007486701</v>
      </c>
      <c r="L743" s="1">
        <v>45129</v>
      </c>
      <c r="M743" s="1">
        <v>45128</v>
      </c>
      <c r="N743">
        <v>729.71272813476105</v>
      </c>
      <c r="O743">
        <v>-1</v>
      </c>
      <c r="P743" t="str">
        <f>IF(Table1[[#This Row],[Delivery Delay]]&gt;0,"Late","On Time")</f>
        <v>On Time</v>
      </c>
      <c r="Q743">
        <v>40.539596007486722</v>
      </c>
      <c r="R743">
        <v>0.83113214430904903</v>
      </c>
      <c r="S743">
        <v>1.3704022986636504E-3</v>
      </c>
      <c r="T743">
        <v>0.96</v>
      </c>
      <c r="U743">
        <v>0</v>
      </c>
      <c r="V743">
        <v>45.463754955140892</v>
      </c>
    </row>
    <row r="744" spans="1:22" x14ac:dyDescent="0.35">
      <c r="A744" t="s">
        <v>104</v>
      </c>
      <c r="B744" t="s">
        <v>8</v>
      </c>
      <c r="C744" t="s">
        <v>9</v>
      </c>
      <c r="D744">
        <v>0.65</v>
      </c>
      <c r="E744" t="s">
        <v>38</v>
      </c>
      <c r="F744" t="s">
        <v>39</v>
      </c>
      <c r="G744">
        <v>0</v>
      </c>
      <c r="H744">
        <v>510.048</v>
      </c>
      <c r="I744" t="s">
        <v>47</v>
      </c>
      <c r="J744" s="1">
        <v>45343</v>
      </c>
      <c r="K744">
        <v>41.8856562875972</v>
      </c>
      <c r="L744" s="1">
        <v>45354</v>
      </c>
      <c r="M744" s="1">
        <v>45356</v>
      </c>
      <c r="N744">
        <v>376.97090658837499</v>
      </c>
      <c r="O744">
        <v>2</v>
      </c>
      <c r="P744" t="str">
        <f>IF(Table1[[#This Row],[Delivery Delay]]&gt;0,"Late","On Time")</f>
        <v>Late</v>
      </c>
      <c r="Q744">
        <v>41.885656287597222</v>
      </c>
      <c r="R744">
        <v>0.72527472527472525</v>
      </c>
      <c r="S744">
        <v>2.6527246069202042E-3</v>
      </c>
      <c r="T744">
        <v>0.65</v>
      </c>
      <c r="U744">
        <v>1</v>
      </c>
      <c r="V744">
        <v>54.085076243702112</v>
      </c>
    </row>
    <row r="745" spans="1:22" x14ac:dyDescent="0.35">
      <c r="A745" t="s">
        <v>105</v>
      </c>
      <c r="B745" t="s">
        <v>14</v>
      </c>
      <c r="C745" t="s">
        <v>9</v>
      </c>
      <c r="D745">
        <v>0.97</v>
      </c>
      <c r="E745" t="s">
        <v>38</v>
      </c>
      <c r="F745" t="s">
        <v>39</v>
      </c>
      <c r="G745">
        <v>0</v>
      </c>
      <c r="H745">
        <v>258.14879999999999</v>
      </c>
      <c r="I745" t="s">
        <v>46</v>
      </c>
      <c r="J745" s="1">
        <v>44700</v>
      </c>
      <c r="K745">
        <v>38.8711455805174</v>
      </c>
      <c r="L745" s="1">
        <v>44712</v>
      </c>
      <c r="M745" s="1">
        <v>44715</v>
      </c>
      <c r="N745">
        <v>466.453746966209</v>
      </c>
      <c r="O745">
        <v>3</v>
      </c>
      <c r="P745" t="str">
        <f>IF(Table1[[#This Row],[Delivery Delay]]&gt;0,"Late","On Time")</f>
        <v>Late</v>
      </c>
      <c r="Q745">
        <v>38.871145580517414</v>
      </c>
      <c r="R745">
        <v>0.3658733209291567</v>
      </c>
      <c r="S745">
        <v>2.1438352816414235E-3</v>
      </c>
      <c r="T745">
        <v>0.97</v>
      </c>
      <c r="U745">
        <v>1</v>
      </c>
      <c r="V745">
        <v>56.481781477032378</v>
      </c>
    </row>
    <row r="746" spans="1:22" x14ac:dyDescent="0.35">
      <c r="A746" t="s">
        <v>106</v>
      </c>
      <c r="B746" t="s">
        <v>10</v>
      </c>
      <c r="C746" t="s">
        <v>9</v>
      </c>
      <c r="D746">
        <v>0.77</v>
      </c>
      <c r="E746" t="s">
        <v>37</v>
      </c>
      <c r="F746" t="s">
        <v>39</v>
      </c>
      <c r="G746">
        <v>0</v>
      </c>
      <c r="H746">
        <v>310.78899999999999</v>
      </c>
      <c r="I746" t="s">
        <v>51</v>
      </c>
      <c r="J746" s="1">
        <v>44788</v>
      </c>
      <c r="K746">
        <v>40.7884328651229</v>
      </c>
      <c r="L746" s="1">
        <v>44811</v>
      </c>
      <c r="M746" s="1">
        <v>44808</v>
      </c>
      <c r="N746">
        <v>611.82649297684304</v>
      </c>
      <c r="O746">
        <v>-3</v>
      </c>
      <c r="P746" t="str">
        <f>IF(Table1[[#This Row],[Delivery Delay]]&gt;0,"Late","On Time")</f>
        <v>On Time</v>
      </c>
      <c r="Q746">
        <v>40.788432865122871</v>
      </c>
      <c r="R746">
        <v>0.33334334399826704</v>
      </c>
      <c r="S746">
        <v>1.6344503081821417E-3</v>
      </c>
      <c r="T746">
        <v>0.77</v>
      </c>
      <c r="U746">
        <v>1</v>
      </c>
      <c r="V746">
        <v>49.815900389210803</v>
      </c>
    </row>
    <row r="747" spans="1:22" x14ac:dyDescent="0.35">
      <c r="A747" t="s">
        <v>108</v>
      </c>
      <c r="B747" t="s">
        <v>15</v>
      </c>
      <c r="C747" t="s">
        <v>7</v>
      </c>
      <c r="D747">
        <v>0.67</v>
      </c>
      <c r="E747" t="s">
        <v>38</v>
      </c>
      <c r="F747" t="s">
        <v>34</v>
      </c>
      <c r="G747">
        <v>1</v>
      </c>
      <c r="H747">
        <v>547.07399999999996</v>
      </c>
      <c r="I747" t="s">
        <v>50</v>
      </c>
      <c r="J747" s="1">
        <v>44861</v>
      </c>
      <c r="K747">
        <v>57.852926024629198</v>
      </c>
      <c r="L747" s="1">
        <v>44880</v>
      </c>
      <c r="M747" s="1">
        <v>44884</v>
      </c>
      <c r="N747">
        <v>1041.35266844332</v>
      </c>
      <c r="O747">
        <v>4</v>
      </c>
      <c r="P747" t="str">
        <f>IF(Table1[[#This Row],[Delivery Delay]]&gt;0,"Late","On Time")</f>
        <v>Late</v>
      </c>
      <c r="Q747">
        <v>57.852926024628886</v>
      </c>
      <c r="R747">
        <v>0.90528102939862387</v>
      </c>
      <c r="S747">
        <v>9.6028946801938238E-4</v>
      </c>
      <c r="T747">
        <v>0.67</v>
      </c>
      <c r="U747">
        <v>0</v>
      </c>
      <c r="V747">
        <v>38.23442927201306</v>
      </c>
    </row>
    <row r="748" spans="1:22" x14ac:dyDescent="0.35">
      <c r="A748" t="s">
        <v>105</v>
      </c>
      <c r="B748" t="s">
        <v>13</v>
      </c>
      <c r="C748" t="s">
        <v>9</v>
      </c>
      <c r="D748">
        <v>0.81</v>
      </c>
      <c r="E748" t="s">
        <v>38</v>
      </c>
      <c r="F748" t="s">
        <v>34</v>
      </c>
      <c r="G748">
        <v>1</v>
      </c>
      <c r="H748">
        <v>175.27679999999901</v>
      </c>
      <c r="I748" t="s">
        <v>50</v>
      </c>
      <c r="J748" s="1">
        <v>45373</v>
      </c>
      <c r="K748">
        <v>63.457327449375001</v>
      </c>
      <c r="L748" s="1">
        <v>45388</v>
      </c>
      <c r="M748" s="1">
        <v>45390</v>
      </c>
      <c r="N748">
        <v>634.57327449374998</v>
      </c>
      <c r="O748">
        <v>2</v>
      </c>
      <c r="P748" t="str">
        <f>IF(Table1[[#This Row],[Delivery Delay]]&gt;0,"Late","On Time")</f>
        <v>Late</v>
      </c>
      <c r="Q748">
        <v>63.457327449375001</v>
      </c>
      <c r="R748">
        <v>0.40730144389231743</v>
      </c>
      <c r="S748">
        <v>1.5758621426308574E-3</v>
      </c>
      <c r="T748">
        <v>0.81</v>
      </c>
      <c r="U748">
        <v>0</v>
      </c>
      <c r="V748">
        <v>32.493304742125275</v>
      </c>
    </row>
    <row r="749" spans="1:22" x14ac:dyDescent="0.35">
      <c r="A749" t="s">
        <v>106</v>
      </c>
      <c r="B749" t="s">
        <v>12</v>
      </c>
      <c r="C749" t="s">
        <v>5</v>
      </c>
      <c r="D749">
        <v>0.94</v>
      </c>
      <c r="E749" t="s">
        <v>37</v>
      </c>
      <c r="F749" t="s">
        <v>39</v>
      </c>
      <c r="G749">
        <v>0</v>
      </c>
      <c r="H749">
        <v>304.92</v>
      </c>
      <c r="I749" t="s">
        <v>48</v>
      </c>
      <c r="J749" s="1">
        <v>45246</v>
      </c>
      <c r="K749">
        <v>7.4069499223704698</v>
      </c>
      <c r="L749" s="1">
        <v>45265</v>
      </c>
      <c r="M749" s="1">
        <v>45270</v>
      </c>
      <c r="N749">
        <v>66.662549301334195</v>
      </c>
      <c r="O749">
        <v>5</v>
      </c>
      <c r="P749" t="str">
        <f>IF(Table1[[#This Row],[Delivery Delay]]&gt;0,"Late","On Time")</f>
        <v>Late</v>
      </c>
      <c r="Q749">
        <v>7.4069499223704662</v>
      </c>
      <c r="R749">
        <v>0.25850097917037568</v>
      </c>
      <c r="S749">
        <v>1.5000926464418694E-2</v>
      </c>
      <c r="T749">
        <v>0.94</v>
      </c>
      <c r="U749">
        <v>1</v>
      </c>
      <c r="V749">
        <v>53.820047377340074</v>
      </c>
    </row>
    <row r="750" spans="1:22" x14ac:dyDescent="0.35">
      <c r="A750" t="s">
        <v>108</v>
      </c>
      <c r="B750" t="s">
        <v>10</v>
      </c>
      <c r="C750" t="s">
        <v>11</v>
      </c>
      <c r="D750">
        <v>0.89</v>
      </c>
      <c r="E750" t="s">
        <v>37</v>
      </c>
      <c r="F750" t="s">
        <v>34</v>
      </c>
      <c r="G750">
        <v>1</v>
      </c>
      <c r="H750">
        <v>184.719999999999</v>
      </c>
      <c r="I750" t="s">
        <v>45</v>
      </c>
      <c r="J750" s="1">
        <v>44998</v>
      </c>
      <c r="K750">
        <v>15.4156142619753</v>
      </c>
      <c r="L750" s="1">
        <v>45009</v>
      </c>
      <c r="M750" s="1">
        <v>45006</v>
      </c>
      <c r="N750">
        <v>123.324914095803</v>
      </c>
      <c r="O750">
        <v>-3</v>
      </c>
      <c r="P750" t="str">
        <f>IF(Table1[[#This Row],[Delivery Delay]]&gt;0,"Late","On Time")</f>
        <v>On Time</v>
      </c>
      <c r="Q750">
        <v>15.415614261975374</v>
      </c>
      <c r="R750">
        <v>0.58267617185035336</v>
      </c>
      <c r="S750">
        <v>8.1086616385004414E-3</v>
      </c>
      <c r="T750">
        <v>0.89</v>
      </c>
      <c r="U750">
        <v>0</v>
      </c>
      <c r="V750">
        <v>38.596783286162086</v>
      </c>
    </row>
    <row r="751" spans="1:22" x14ac:dyDescent="0.35">
      <c r="A751" t="s">
        <v>107</v>
      </c>
      <c r="B751" t="s">
        <v>12</v>
      </c>
      <c r="C751" t="s">
        <v>5</v>
      </c>
      <c r="D751">
        <v>0.91</v>
      </c>
      <c r="E751" t="s">
        <v>38</v>
      </c>
      <c r="F751" t="s">
        <v>34</v>
      </c>
      <c r="G751">
        <v>1</v>
      </c>
      <c r="H751">
        <v>117.532499999999</v>
      </c>
      <c r="I751" t="s">
        <v>49</v>
      </c>
      <c r="J751" s="1">
        <v>44467</v>
      </c>
      <c r="K751">
        <v>50.812838696939998</v>
      </c>
      <c r="L751" s="1">
        <v>44479</v>
      </c>
      <c r="M751" s="1">
        <v>44481</v>
      </c>
      <c r="N751">
        <v>304.87703218164</v>
      </c>
      <c r="O751">
        <v>2</v>
      </c>
      <c r="P751" t="str">
        <f>IF(Table1[[#This Row],[Delivery Delay]]&gt;0,"Late","On Time")</f>
        <v>Late</v>
      </c>
      <c r="Q751">
        <v>50.812838696939998</v>
      </c>
      <c r="R751">
        <v>0.18735279935281401</v>
      </c>
      <c r="S751">
        <v>3.2800109370135131E-3</v>
      </c>
      <c r="T751">
        <v>0.91</v>
      </c>
      <c r="U751">
        <v>0</v>
      </c>
      <c r="V751">
        <v>31.145456315166687</v>
      </c>
    </row>
    <row r="752" spans="1:22" x14ac:dyDescent="0.35">
      <c r="A752" t="s">
        <v>100</v>
      </c>
      <c r="B752" t="s">
        <v>13</v>
      </c>
      <c r="C752" t="s">
        <v>7</v>
      </c>
      <c r="D752">
        <v>0.86</v>
      </c>
      <c r="E752" t="s">
        <v>38</v>
      </c>
      <c r="F752" t="s">
        <v>34</v>
      </c>
      <c r="G752">
        <v>1</v>
      </c>
      <c r="H752">
        <v>312.93599999999998</v>
      </c>
      <c r="I752" t="s">
        <v>47</v>
      </c>
      <c r="J752" s="1">
        <v>45083</v>
      </c>
      <c r="K752">
        <v>4.0805915719456696</v>
      </c>
      <c r="L752" s="1">
        <v>45101</v>
      </c>
      <c r="M752" s="1">
        <v>45102</v>
      </c>
      <c r="N752">
        <v>57.128282007239299</v>
      </c>
      <c r="O752">
        <v>1</v>
      </c>
      <c r="P752" t="str">
        <f>IF(Table1[[#This Row],[Delivery Delay]]&gt;0,"Late","On Time")</f>
        <v>Late</v>
      </c>
      <c r="Q752">
        <v>4.0805915719456642</v>
      </c>
      <c r="R752">
        <v>0.39075189547184508</v>
      </c>
      <c r="S752">
        <v>1.7504464774090001E-2</v>
      </c>
      <c r="T752">
        <v>0.86</v>
      </c>
      <c r="U752">
        <v>0</v>
      </c>
      <c r="V752">
        <v>34.140171852659599</v>
      </c>
    </row>
    <row r="753" spans="1:22" x14ac:dyDescent="0.35">
      <c r="A753" t="s">
        <v>101</v>
      </c>
      <c r="B753" t="s">
        <v>15</v>
      </c>
      <c r="C753" t="s">
        <v>5</v>
      </c>
      <c r="D753">
        <v>0.87</v>
      </c>
      <c r="E753" t="s">
        <v>36</v>
      </c>
      <c r="F753" t="s">
        <v>34</v>
      </c>
      <c r="G753">
        <v>1</v>
      </c>
      <c r="H753">
        <v>121.548</v>
      </c>
      <c r="I753" t="s">
        <v>48</v>
      </c>
      <c r="J753" s="1">
        <v>44552</v>
      </c>
      <c r="K753">
        <v>25.356327557946202</v>
      </c>
      <c r="L753" s="1">
        <v>44576</v>
      </c>
      <c r="M753" s="1">
        <v>44574</v>
      </c>
      <c r="N753">
        <v>431.05756848508599</v>
      </c>
      <c r="O753">
        <v>-2</v>
      </c>
      <c r="P753" t="str">
        <f>IF(Table1[[#This Row],[Delivery Delay]]&gt;0,"Late","On Time")</f>
        <v>On Time</v>
      </c>
      <c r="Q753">
        <v>25.356327557946233</v>
      </c>
      <c r="R753">
        <v>0.38116203808233617</v>
      </c>
      <c r="S753">
        <v>2.3198757500405625E-3</v>
      </c>
      <c r="T753">
        <v>0.87</v>
      </c>
      <c r="U753">
        <v>0</v>
      </c>
      <c r="V753">
        <v>33.792837034147936</v>
      </c>
    </row>
    <row r="754" spans="1:22" x14ac:dyDescent="0.35">
      <c r="A754" t="s">
        <v>102</v>
      </c>
      <c r="B754" t="s">
        <v>8</v>
      </c>
      <c r="C754" t="s">
        <v>9</v>
      </c>
      <c r="D754">
        <v>0.93</v>
      </c>
      <c r="E754" t="s">
        <v>38</v>
      </c>
      <c r="F754" t="s">
        <v>34</v>
      </c>
      <c r="G754">
        <v>1</v>
      </c>
      <c r="H754">
        <v>430.28</v>
      </c>
      <c r="I754" t="s">
        <v>49</v>
      </c>
      <c r="J754" s="1">
        <v>44304</v>
      </c>
      <c r="K754">
        <v>5.82289578176968</v>
      </c>
      <c r="L754" s="1">
        <v>44316</v>
      </c>
      <c r="M754" s="1">
        <v>44313</v>
      </c>
      <c r="N754">
        <v>69.8747493812361</v>
      </c>
      <c r="O754">
        <v>-3</v>
      </c>
      <c r="P754" t="str">
        <f>IF(Table1[[#This Row],[Delivery Delay]]&gt;0,"Late","On Time")</f>
        <v>On Time</v>
      </c>
      <c r="Q754">
        <v>5.8228957817696747</v>
      </c>
      <c r="R754">
        <v>0.76030604491721598</v>
      </c>
      <c r="S754">
        <v>1.4311321455251418E-2</v>
      </c>
      <c r="T754">
        <v>0.93</v>
      </c>
      <c r="U754">
        <v>0</v>
      </c>
      <c r="V754">
        <v>43.535460542001871</v>
      </c>
    </row>
    <row r="755" spans="1:22" x14ac:dyDescent="0.35">
      <c r="A755" t="s">
        <v>99</v>
      </c>
      <c r="B755" t="s">
        <v>10</v>
      </c>
      <c r="C755" t="s">
        <v>7</v>
      </c>
      <c r="D755">
        <v>0.7</v>
      </c>
      <c r="E755" t="s">
        <v>36</v>
      </c>
      <c r="F755" t="s">
        <v>34</v>
      </c>
      <c r="G755">
        <v>1</v>
      </c>
      <c r="H755">
        <v>306.87479999999999</v>
      </c>
      <c r="I755" t="s">
        <v>49</v>
      </c>
      <c r="J755" s="1">
        <v>45198</v>
      </c>
      <c r="K755">
        <v>40.042082957772401</v>
      </c>
      <c r="L755" s="1">
        <v>45221</v>
      </c>
      <c r="M755" s="1">
        <v>45227</v>
      </c>
      <c r="N755">
        <v>520.54707845104099</v>
      </c>
      <c r="O755">
        <v>6</v>
      </c>
      <c r="P755" t="str">
        <f>IF(Table1[[#This Row],[Delivery Delay]]&gt;0,"Late","On Time")</f>
        <v>Late</v>
      </c>
      <c r="Q755">
        <v>40.042082957772386</v>
      </c>
      <c r="R755">
        <v>0.66730075229171071</v>
      </c>
      <c r="S755">
        <v>1.9210558302923085E-3</v>
      </c>
      <c r="T755">
        <v>0.7</v>
      </c>
      <c r="U755">
        <v>0</v>
      </c>
      <c r="V755">
        <v>34.403646720742984</v>
      </c>
    </row>
    <row r="756" spans="1:22" x14ac:dyDescent="0.35">
      <c r="A756" t="s">
        <v>103</v>
      </c>
      <c r="B756" t="s">
        <v>6</v>
      </c>
      <c r="C756" t="s">
        <v>11</v>
      </c>
      <c r="D756">
        <v>0.79</v>
      </c>
      <c r="E756" t="s">
        <v>38</v>
      </c>
      <c r="F756" t="s">
        <v>34</v>
      </c>
      <c r="G756">
        <v>1</v>
      </c>
      <c r="H756">
        <v>203.72399999999999</v>
      </c>
      <c r="I756" t="s">
        <v>51</v>
      </c>
      <c r="J756" s="1">
        <v>45224</v>
      </c>
      <c r="K756">
        <v>51.395337861851502</v>
      </c>
      <c r="L756" s="1">
        <v>45240</v>
      </c>
      <c r="M756" s="1">
        <v>45244</v>
      </c>
      <c r="N756">
        <v>513.95337861851499</v>
      </c>
      <c r="O756">
        <v>4</v>
      </c>
      <c r="P756" t="str">
        <f>IF(Table1[[#This Row],[Delivery Delay]]&gt;0,"Late","On Time")</f>
        <v>Late</v>
      </c>
      <c r="Q756">
        <v>51.395337861851502</v>
      </c>
      <c r="R756">
        <v>0.336831871751121</v>
      </c>
      <c r="S756">
        <v>1.9457017729661741E-3</v>
      </c>
      <c r="T756">
        <v>0.79</v>
      </c>
      <c r="U756">
        <v>0</v>
      </c>
      <c r="V756">
        <v>30.495008488211404</v>
      </c>
    </row>
    <row r="757" spans="1:22" x14ac:dyDescent="0.35">
      <c r="A757" t="s">
        <v>104</v>
      </c>
      <c r="B757" t="s">
        <v>6</v>
      </c>
      <c r="C757" t="s">
        <v>9</v>
      </c>
      <c r="D757">
        <v>0.69</v>
      </c>
      <c r="E757" t="s">
        <v>36</v>
      </c>
      <c r="F757" t="s">
        <v>34</v>
      </c>
      <c r="G757">
        <v>1</v>
      </c>
      <c r="H757">
        <v>599.58360000000005</v>
      </c>
      <c r="I757" t="s">
        <v>49</v>
      </c>
      <c r="J757" s="1">
        <v>44599</v>
      </c>
      <c r="K757">
        <v>44.253100922449399</v>
      </c>
      <c r="L757" s="1">
        <v>44615</v>
      </c>
      <c r="M757" s="1">
        <v>44613</v>
      </c>
      <c r="N757">
        <v>398.27790830204498</v>
      </c>
      <c r="O757">
        <v>-2</v>
      </c>
      <c r="P757" t="str">
        <f>IF(Table1[[#This Row],[Delivery Delay]]&gt;0,"Late","On Time")</f>
        <v>On Time</v>
      </c>
      <c r="Q757">
        <v>44.253100922449441</v>
      </c>
      <c r="R757">
        <v>0.63530448404151174</v>
      </c>
      <c r="S757">
        <v>2.5108096109654732E-3</v>
      </c>
      <c r="T757">
        <v>0.69</v>
      </c>
      <c r="U757">
        <v>0</v>
      </c>
      <c r="V757">
        <v>33.481413969159199</v>
      </c>
    </row>
    <row r="758" spans="1:22" x14ac:dyDescent="0.35">
      <c r="A758" t="s">
        <v>105</v>
      </c>
      <c r="B758" t="s">
        <v>13</v>
      </c>
      <c r="C758" t="s">
        <v>7</v>
      </c>
      <c r="D758">
        <v>0.99</v>
      </c>
      <c r="E758" t="s">
        <v>37</v>
      </c>
      <c r="F758" t="s">
        <v>34</v>
      </c>
      <c r="G758">
        <v>1</v>
      </c>
      <c r="H758">
        <v>128.00800000000001</v>
      </c>
      <c r="I758" t="s">
        <v>45</v>
      </c>
      <c r="J758" s="1">
        <v>44448</v>
      </c>
      <c r="K758">
        <v>26.685587550073599</v>
      </c>
      <c r="L758" s="1">
        <v>44462</v>
      </c>
      <c r="M758" s="1">
        <v>44462</v>
      </c>
      <c r="N758">
        <v>346.91263815095698</v>
      </c>
      <c r="O758">
        <v>0</v>
      </c>
      <c r="P758" t="str">
        <f>IF(Table1[[#This Row],[Delivery Delay]]&gt;0,"Late","On Time")</f>
        <v>On Time</v>
      </c>
      <c r="Q758">
        <v>26.685587550073613</v>
      </c>
      <c r="R758">
        <v>0.12483007592704919</v>
      </c>
      <c r="S758">
        <v>2.8825701056323463E-3</v>
      </c>
      <c r="T758">
        <v>0.99</v>
      </c>
      <c r="U758">
        <v>0</v>
      </c>
      <c r="V758">
        <v>32.283078621709954</v>
      </c>
    </row>
    <row r="759" spans="1:22" x14ac:dyDescent="0.35">
      <c r="A759" t="s">
        <v>106</v>
      </c>
      <c r="B759" t="s">
        <v>6</v>
      </c>
      <c r="C759" t="s">
        <v>11</v>
      </c>
      <c r="D759">
        <v>0.97</v>
      </c>
      <c r="E759" t="s">
        <v>38</v>
      </c>
      <c r="F759" t="s">
        <v>34</v>
      </c>
      <c r="G759">
        <v>1</v>
      </c>
      <c r="H759">
        <v>239.6</v>
      </c>
      <c r="I759" t="s">
        <v>50</v>
      </c>
      <c r="J759" s="1">
        <v>44688</v>
      </c>
      <c r="K759">
        <v>26.948130314756401</v>
      </c>
      <c r="L759" s="1">
        <v>44701</v>
      </c>
      <c r="M759" s="1">
        <v>44707</v>
      </c>
      <c r="N759">
        <v>323.37756377707598</v>
      </c>
      <c r="O759">
        <v>6</v>
      </c>
      <c r="P759" t="str">
        <f>IF(Table1[[#This Row],[Delivery Delay]]&gt;0,"Late","On Time")</f>
        <v>Late</v>
      </c>
      <c r="Q759">
        <v>26.94813031475633</v>
      </c>
      <c r="R759">
        <v>0.43844239496413406</v>
      </c>
      <c r="S759">
        <v>3.092360485124322E-3</v>
      </c>
      <c r="T759">
        <v>0.97</v>
      </c>
      <c r="U759">
        <v>0</v>
      </c>
      <c r="V759">
        <v>37.961618713836408</v>
      </c>
    </row>
    <row r="760" spans="1:22" x14ac:dyDescent="0.35">
      <c r="A760" t="s">
        <v>108</v>
      </c>
      <c r="B760" t="s">
        <v>8</v>
      </c>
      <c r="C760" t="s">
        <v>9</v>
      </c>
      <c r="D760">
        <v>0.62</v>
      </c>
      <c r="E760" t="s">
        <v>35</v>
      </c>
      <c r="F760" t="s">
        <v>34</v>
      </c>
      <c r="G760">
        <v>1</v>
      </c>
      <c r="H760">
        <v>478.14199999999897</v>
      </c>
      <c r="I760" t="s">
        <v>48</v>
      </c>
      <c r="J760" s="1">
        <v>45166</v>
      </c>
      <c r="K760">
        <v>25.971177573496401</v>
      </c>
      <c r="L760" s="1">
        <v>45189</v>
      </c>
      <c r="M760" s="1">
        <v>45188</v>
      </c>
      <c r="N760">
        <v>259.71177573496402</v>
      </c>
      <c r="O760">
        <v>-1</v>
      </c>
      <c r="P760" t="str">
        <f>IF(Table1[[#This Row],[Delivery Delay]]&gt;0,"Late","On Time")</f>
        <v>On Time</v>
      </c>
      <c r="Q760">
        <v>25.971177573496401</v>
      </c>
      <c r="R760">
        <v>0.58603589690792357</v>
      </c>
      <c r="S760">
        <v>3.8504222504739272E-3</v>
      </c>
      <c r="T760">
        <v>0.62</v>
      </c>
      <c r="U760">
        <v>0</v>
      </c>
      <c r="V760">
        <v>30.436230605672687</v>
      </c>
    </row>
    <row r="761" spans="1:22" x14ac:dyDescent="0.35">
      <c r="A761" t="s">
        <v>107</v>
      </c>
      <c r="B761" t="s">
        <v>13</v>
      </c>
      <c r="C761" t="s">
        <v>9</v>
      </c>
      <c r="D761">
        <v>0.88</v>
      </c>
      <c r="E761" t="s">
        <v>35</v>
      </c>
      <c r="F761" t="s">
        <v>34</v>
      </c>
      <c r="G761">
        <v>1</v>
      </c>
      <c r="H761">
        <v>92.147999999999897</v>
      </c>
      <c r="I761" t="s">
        <v>49</v>
      </c>
      <c r="J761" s="1">
        <v>44664</v>
      </c>
      <c r="K761">
        <v>5.69269356713425</v>
      </c>
      <c r="L761" s="1">
        <v>44679</v>
      </c>
      <c r="M761" s="1">
        <v>44683</v>
      </c>
      <c r="N761">
        <v>68.312322805611004</v>
      </c>
      <c r="O761">
        <v>4</v>
      </c>
      <c r="P761" t="str">
        <f>IF(Table1[[#This Row],[Delivery Delay]]&gt;0,"Late","On Time")</f>
        <v>Late</v>
      </c>
      <c r="Q761">
        <v>5.69269356713425</v>
      </c>
      <c r="R761">
        <v>0.19860852472584337</v>
      </c>
      <c r="S761">
        <v>1.4638647302999665E-2</v>
      </c>
      <c r="T761">
        <v>0.88</v>
      </c>
      <c r="U761">
        <v>0</v>
      </c>
      <c r="V761">
        <v>30.811329913606862</v>
      </c>
    </row>
    <row r="762" spans="1:22" x14ac:dyDescent="0.35">
      <c r="A762" t="s">
        <v>100</v>
      </c>
      <c r="B762" t="s">
        <v>8</v>
      </c>
      <c r="C762" t="s">
        <v>7</v>
      </c>
      <c r="D762">
        <v>0.96</v>
      </c>
      <c r="E762" t="s">
        <v>35</v>
      </c>
      <c r="F762" t="s">
        <v>34</v>
      </c>
      <c r="G762">
        <v>1</v>
      </c>
      <c r="H762">
        <v>-32.810400000000001</v>
      </c>
      <c r="I762" t="s">
        <v>51</v>
      </c>
      <c r="J762" s="1">
        <v>44715</v>
      </c>
      <c r="K762">
        <v>8.6927396162637791</v>
      </c>
      <c r="L762" s="1">
        <v>44739</v>
      </c>
      <c r="M762" s="1">
        <v>44737</v>
      </c>
      <c r="N762">
        <v>78.234656546373998</v>
      </c>
      <c r="O762">
        <v>-2</v>
      </c>
      <c r="P762" t="str">
        <f>IF(Table1[[#This Row],[Delivery Delay]]&gt;0,"Late","On Time")</f>
        <v>On Time</v>
      </c>
      <c r="Q762">
        <v>8.6927396162637773</v>
      </c>
      <c r="R762">
        <v>0</v>
      </c>
      <c r="S762">
        <v>1.2782059053422761E-2</v>
      </c>
      <c r="T762">
        <v>0.96</v>
      </c>
      <c r="U762">
        <v>0</v>
      </c>
      <c r="V762">
        <v>29.18346177160268</v>
      </c>
    </row>
    <row r="763" spans="1:22" x14ac:dyDescent="0.35">
      <c r="A763" t="s">
        <v>101</v>
      </c>
      <c r="B763" t="s">
        <v>15</v>
      </c>
      <c r="C763" t="s">
        <v>9</v>
      </c>
      <c r="D763">
        <v>0.67</v>
      </c>
      <c r="E763" t="s">
        <v>38</v>
      </c>
      <c r="F763" t="s">
        <v>34</v>
      </c>
      <c r="G763">
        <v>1</v>
      </c>
      <c r="H763">
        <v>438.77199999999903</v>
      </c>
      <c r="I763" t="s">
        <v>45</v>
      </c>
      <c r="J763" s="1">
        <v>44858</v>
      </c>
      <c r="K763">
        <v>48.075156278795703</v>
      </c>
      <c r="L763" s="1">
        <v>44878</v>
      </c>
      <c r="M763" s="1">
        <v>44879</v>
      </c>
      <c r="N763">
        <v>288.45093767277399</v>
      </c>
      <c r="O763">
        <v>1</v>
      </c>
      <c r="P763" t="str">
        <f>IF(Table1[[#This Row],[Delivery Delay]]&gt;0,"Late","On Time")</f>
        <v>Late</v>
      </c>
      <c r="Q763">
        <v>48.075156278795667</v>
      </c>
      <c r="R763">
        <v>0.32135711000372225</v>
      </c>
      <c r="S763">
        <v>3.4667940692722768E-3</v>
      </c>
      <c r="T763">
        <v>0.67</v>
      </c>
      <c r="U763">
        <v>0</v>
      </c>
      <c r="V763">
        <v>26.63114602215262</v>
      </c>
    </row>
    <row r="764" spans="1:22" x14ac:dyDescent="0.35">
      <c r="A764" t="s">
        <v>102</v>
      </c>
      <c r="B764" t="s">
        <v>12</v>
      </c>
      <c r="C764" t="s">
        <v>9</v>
      </c>
      <c r="D764">
        <v>0.82</v>
      </c>
      <c r="E764" t="s">
        <v>37</v>
      </c>
      <c r="F764" t="s">
        <v>34</v>
      </c>
      <c r="G764">
        <v>1</v>
      </c>
      <c r="H764">
        <v>-80.6647999999999</v>
      </c>
      <c r="I764" t="s">
        <v>46</v>
      </c>
      <c r="J764" s="1">
        <v>45293</v>
      </c>
      <c r="K764">
        <v>13.7419545181071</v>
      </c>
      <c r="L764" s="1">
        <v>45314</v>
      </c>
      <c r="M764" s="1">
        <v>45316</v>
      </c>
      <c r="N764">
        <v>96.193681626749793</v>
      </c>
      <c r="O764">
        <v>2</v>
      </c>
      <c r="P764" t="str">
        <f>IF(Table1[[#This Row],[Delivery Delay]]&gt;0,"Late","On Time")</f>
        <v>Late</v>
      </c>
      <c r="Q764">
        <v>13.741954518107113</v>
      </c>
      <c r="R764">
        <v>0</v>
      </c>
      <c r="S764">
        <v>1.0395693179518741E-2</v>
      </c>
      <c r="T764">
        <v>0.82</v>
      </c>
      <c r="U764">
        <v>0</v>
      </c>
      <c r="V764">
        <v>24.91187079538556</v>
      </c>
    </row>
    <row r="765" spans="1:22" x14ac:dyDescent="0.35">
      <c r="A765" t="s">
        <v>99</v>
      </c>
      <c r="B765" t="s">
        <v>15</v>
      </c>
      <c r="C765" t="s">
        <v>9</v>
      </c>
      <c r="D765">
        <v>0.96</v>
      </c>
      <c r="E765" t="s">
        <v>38</v>
      </c>
      <c r="F765" t="s">
        <v>34</v>
      </c>
      <c r="G765">
        <v>1</v>
      </c>
      <c r="H765">
        <v>391.07600000000002</v>
      </c>
      <c r="I765" t="s">
        <v>50</v>
      </c>
      <c r="J765" s="1">
        <v>45356</v>
      </c>
      <c r="K765">
        <v>21.153242193097299</v>
      </c>
      <c r="L765" s="1">
        <v>45378</v>
      </c>
      <c r="M765" s="1">
        <v>45375</v>
      </c>
      <c r="N765">
        <v>274.992148510265</v>
      </c>
      <c r="O765">
        <v>-3</v>
      </c>
      <c r="P765" t="str">
        <f>IF(Table1[[#This Row],[Delivery Delay]]&gt;0,"Late","On Time")</f>
        <v>On Time</v>
      </c>
      <c r="Q765">
        <v>21.153242193097306</v>
      </c>
      <c r="R765">
        <v>0.37846333103009122</v>
      </c>
      <c r="S765">
        <v>3.636467460679779E-3</v>
      </c>
      <c r="T765">
        <v>0.96</v>
      </c>
      <c r="U765">
        <v>0</v>
      </c>
      <c r="V765">
        <v>36.478360644422217</v>
      </c>
    </row>
    <row r="766" spans="1:22" x14ac:dyDescent="0.35">
      <c r="A766" t="s">
        <v>103</v>
      </c>
      <c r="B766" t="s">
        <v>15</v>
      </c>
      <c r="C766" t="s">
        <v>11</v>
      </c>
      <c r="D766">
        <v>0.61</v>
      </c>
      <c r="E766" t="s">
        <v>35</v>
      </c>
      <c r="F766" t="s">
        <v>34</v>
      </c>
      <c r="G766">
        <v>1</v>
      </c>
      <c r="H766">
        <v>225.6112</v>
      </c>
      <c r="I766" t="s">
        <v>50</v>
      </c>
      <c r="J766" s="1">
        <v>45095</v>
      </c>
      <c r="K766">
        <v>60.839266056331503</v>
      </c>
      <c r="L766" s="1">
        <v>45114</v>
      </c>
      <c r="M766" s="1">
        <v>45119</v>
      </c>
      <c r="N766">
        <v>608.39266056331496</v>
      </c>
      <c r="O766">
        <v>5</v>
      </c>
      <c r="P766" t="str">
        <f>IF(Table1[[#This Row],[Delivery Delay]]&gt;0,"Late","On Time")</f>
        <v>Late</v>
      </c>
      <c r="Q766">
        <v>60.839266056331496</v>
      </c>
      <c r="R766">
        <v>0.25148071987686971</v>
      </c>
      <c r="S766">
        <v>1.6436753182954133E-3</v>
      </c>
      <c r="T766">
        <v>0.61</v>
      </c>
      <c r="U766">
        <v>0</v>
      </c>
      <c r="V766">
        <v>23.378924657086255</v>
      </c>
    </row>
    <row r="767" spans="1:22" x14ac:dyDescent="0.35">
      <c r="A767" t="s">
        <v>104</v>
      </c>
      <c r="B767" t="s">
        <v>8</v>
      </c>
      <c r="C767" t="s">
        <v>5</v>
      </c>
      <c r="D767">
        <v>0.87</v>
      </c>
      <c r="E767" t="s">
        <v>38</v>
      </c>
      <c r="F767" t="s">
        <v>34</v>
      </c>
      <c r="G767">
        <v>1</v>
      </c>
      <c r="H767">
        <v>7.9725000000000801</v>
      </c>
      <c r="I767" t="s">
        <v>48</v>
      </c>
      <c r="J767" s="1">
        <v>45360</v>
      </c>
      <c r="K767">
        <v>3.7063312342090802</v>
      </c>
      <c r="L767" s="1">
        <v>45371</v>
      </c>
      <c r="M767" s="1">
        <v>45374</v>
      </c>
      <c r="N767">
        <v>22.237987405254501</v>
      </c>
      <c r="O767">
        <v>3</v>
      </c>
      <c r="P767" t="str">
        <f>IF(Table1[[#This Row],[Delivery Delay]]&gt;0,"Late","On Time")</f>
        <v>Late</v>
      </c>
      <c r="Q767">
        <v>3.7063312342090833</v>
      </c>
      <c r="R767">
        <v>1.1582506746474335E-2</v>
      </c>
      <c r="S767">
        <v>4.4968098136601839E-2</v>
      </c>
      <c r="T767">
        <v>0.87</v>
      </c>
      <c r="U767">
        <v>0</v>
      </c>
      <c r="V767">
        <v>27.680693079027542</v>
      </c>
    </row>
    <row r="768" spans="1:22" x14ac:dyDescent="0.35">
      <c r="A768" t="s">
        <v>105</v>
      </c>
      <c r="B768" t="s">
        <v>13</v>
      </c>
      <c r="C768" t="s">
        <v>7</v>
      </c>
      <c r="D768">
        <v>0.72</v>
      </c>
      <c r="E768" t="s">
        <v>37</v>
      </c>
      <c r="F768" t="s">
        <v>39</v>
      </c>
      <c r="G768">
        <v>0</v>
      </c>
      <c r="H768">
        <v>160.28399999999999</v>
      </c>
      <c r="I768" t="s">
        <v>50</v>
      </c>
      <c r="J768" s="1">
        <v>44706</v>
      </c>
      <c r="K768">
        <v>36.468388431284701</v>
      </c>
      <c r="L768" s="1">
        <v>44727</v>
      </c>
      <c r="M768" s="1">
        <v>44732</v>
      </c>
      <c r="N768">
        <v>583.49421490055602</v>
      </c>
      <c r="O768">
        <v>5</v>
      </c>
      <c r="P768" t="str">
        <f>IF(Table1[[#This Row],[Delivery Delay]]&gt;0,"Late","On Time")</f>
        <v>Late</v>
      </c>
      <c r="Q768">
        <v>36.468388431284751</v>
      </c>
      <c r="R768">
        <v>0.61568600336490809</v>
      </c>
      <c r="S768">
        <v>1.7138130498353414E-3</v>
      </c>
      <c r="T768">
        <v>0.72</v>
      </c>
      <c r="U768">
        <v>1</v>
      </c>
      <c r="V768">
        <v>53.96513445879323</v>
      </c>
    </row>
    <row r="769" spans="1:22" x14ac:dyDescent="0.35">
      <c r="A769" t="s">
        <v>106</v>
      </c>
      <c r="B769" t="s">
        <v>13</v>
      </c>
      <c r="C769" t="s">
        <v>7</v>
      </c>
      <c r="D769">
        <v>0.96</v>
      </c>
      <c r="E769" t="s">
        <v>36</v>
      </c>
      <c r="F769" t="s">
        <v>39</v>
      </c>
      <c r="G769">
        <v>0</v>
      </c>
      <c r="H769">
        <v>59.477999999999902</v>
      </c>
      <c r="I769" t="s">
        <v>49</v>
      </c>
      <c r="J769" s="1">
        <v>44565</v>
      </c>
      <c r="K769">
        <v>18.214069049965399</v>
      </c>
      <c r="L769" s="1">
        <v>44585</v>
      </c>
      <c r="M769" s="1">
        <v>44588</v>
      </c>
      <c r="N769">
        <v>254.99696669951601</v>
      </c>
      <c r="O769">
        <v>3</v>
      </c>
      <c r="P769" t="str">
        <f>IF(Table1[[#This Row],[Delivery Delay]]&gt;0,"Late","On Time")</f>
        <v>Late</v>
      </c>
      <c r="Q769">
        <v>18.214069049965428</v>
      </c>
      <c r="R769">
        <v>0.52917311695937563</v>
      </c>
      <c r="S769">
        <v>3.9216152762255509E-3</v>
      </c>
      <c r="T769">
        <v>0.96</v>
      </c>
      <c r="U769">
        <v>1</v>
      </c>
      <c r="V769">
        <v>59.50111079747429</v>
      </c>
    </row>
    <row r="770" spans="1:22" x14ac:dyDescent="0.35">
      <c r="A770" t="s">
        <v>108</v>
      </c>
      <c r="B770" t="s">
        <v>6</v>
      </c>
      <c r="C770" t="s">
        <v>9</v>
      </c>
      <c r="D770">
        <v>0.98</v>
      </c>
      <c r="E770" t="s">
        <v>37</v>
      </c>
      <c r="F770" t="s">
        <v>34</v>
      </c>
      <c r="G770">
        <v>1</v>
      </c>
      <c r="H770">
        <v>468.0025</v>
      </c>
      <c r="I770" t="s">
        <v>51</v>
      </c>
      <c r="J770" s="1">
        <v>44412</v>
      </c>
      <c r="K770">
        <v>53.407786199612701</v>
      </c>
      <c r="L770" s="1">
        <v>44432</v>
      </c>
      <c r="M770" s="1">
        <v>44432</v>
      </c>
      <c r="N770">
        <v>373.85450339728902</v>
      </c>
      <c r="O770">
        <v>0</v>
      </c>
      <c r="P770" t="str">
        <f>IF(Table1[[#This Row],[Delivery Delay]]&gt;0,"Late","On Time")</f>
        <v>On Time</v>
      </c>
      <c r="Q770">
        <v>53.407786199612715</v>
      </c>
      <c r="R770">
        <v>0.7423868084279488</v>
      </c>
      <c r="S770">
        <v>2.6748373790145747E-3</v>
      </c>
      <c r="T770">
        <v>0.98</v>
      </c>
      <c r="U770">
        <v>0</v>
      </c>
      <c r="V770">
        <v>44.327981289929411</v>
      </c>
    </row>
    <row r="771" spans="1:22" x14ac:dyDescent="0.35">
      <c r="A771" t="s">
        <v>101</v>
      </c>
      <c r="B771" t="s">
        <v>4</v>
      </c>
      <c r="C771" t="s">
        <v>9</v>
      </c>
      <c r="D771">
        <v>0.97</v>
      </c>
      <c r="E771" t="s">
        <v>38</v>
      </c>
      <c r="F771" t="s">
        <v>34</v>
      </c>
      <c r="G771">
        <v>1</v>
      </c>
      <c r="H771">
        <v>367.14199999999897</v>
      </c>
      <c r="I771" t="s">
        <v>50</v>
      </c>
      <c r="J771" s="1">
        <v>45147</v>
      </c>
      <c r="K771">
        <v>23.0905150069513</v>
      </c>
      <c r="L771" s="1">
        <v>45157</v>
      </c>
      <c r="M771" s="1">
        <v>45157</v>
      </c>
      <c r="N771">
        <v>161.63360504865901</v>
      </c>
      <c r="O771">
        <v>0</v>
      </c>
      <c r="P771" t="str">
        <f>IF(Table1[[#This Row],[Delivery Delay]]&gt;0,"Late","On Time")</f>
        <v>On Time</v>
      </c>
      <c r="Q771">
        <v>23.090515006951286</v>
      </c>
      <c r="R771">
        <v>0.37103714797948767</v>
      </c>
      <c r="S771">
        <v>6.1868322475326521E-3</v>
      </c>
      <c r="T771">
        <v>0.97</v>
      </c>
      <c r="U771">
        <v>0</v>
      </c>
      <c r="V771">
        <v>36.706347927015734</v>
      </c>
    </row>
    <row r="772" spans="1:22" x14ac:dyDescent="0.35">
      <c r="A772" t="s">
        <v>102</v>
      </c>
      <c r="B772" t="s">
        <v>12</v>
      </c>
      <c r="C772" t="s">
        <v>7</v>
      </c>
      <c r="D772">
        <v>0.78</v>
      </c>
      <c r="E772" t="s">
        <v>36</v>
      </c>
      <c r="F772" t="s">
        <v>34</v>
      </c>
      <c r="G772">
        <v>1</v>
      </c>
      <c r="H772">
        <v>493.910899999999</v>
      </c>
      <c r="I772" t="s">
        <v>50</v>
      </c>
      <c r="J772" s="1">
        <v>45270</v>
      </c>
      <c r="K772">
        <v>28.0218138757077</v>
      </c>
      <c r="L772" s="1">
        <v>45287</v>
      </c>
      <c r="M772" s="1">
        <v>45286</v>
      </c>
      <c r="N772">
        <v>280.21813875707699</v>
      </c>
      <c r="O772">
        <v>-1</v>
      </c>
      <c r="P772" t="str">
        <f>IF(Table1[[#This Row],[Delivery Delay]]&gt;0,"Late","On Time")</f>
        <v>On Time</v>
      </c>
      <c r="Q772">
        <v>28.0218138757077</v>
      </c>
      <c r="R772">
        <v>0.3919085174465291</v>
      </c>
      <c r="S772">
        <v>3.5686483552976093E-3</v>
      </c>
      <c r="T772">
        <v>0.78</v>
      </c>
      <c r="U772">
        <v>0</v>
      </c>
      <c r="V772">
        <v>31.345229799589507</v>
      </c>
    </row>
    <row r="773" spans="1:22" x14ac:dyDescent="0.35">
      <c r="A773" t="s">
        <v>99</v>
      </c>
      <c r="B773" t="s">
        <v>8</v>
      </c>
      <c r="C773" t="s">
        <v>9</v>
      </c>
      <c r="D773">
        <v>0.94</v>
      </c>
      <c r="E773" t="s">
        <v>38</v>
      </c>
      <c r="F773" t="s">
        <v>34</v>
      </c>
      <c r="G773">
        <v>1</v>
      </c>
      <c r="H773">
        <v>585.44960000000003</v>
      </c>
      <c r="I773" t="s">
        <v>46</v>
      </c>
      <c r="J773" s="1">
        <v>45069</v>
      </c>
      <c r="K773">
        <v>49.958161562510099</v>
      </c>
      <c r="L773" s="1">
        <v>45088</v>
      </c>
      <c r="M773" s="1">
        <v>45094</v>
      </c>
      <c r="N773">
        <v>299.74896937506003</v>
      </c>
      <c r="O773">
        <v>6</v>
      </c>
      <c r="P773" t="str">
        <f>IF(Table1[[#This Row],[Delivery Delay]]&gt;0,"Late","On Time")</f>
        <v>Late</v>
      </c>
      <c r="Q773">
        <v>49.958161562510007</v>
      </c>
      <c r="R773">
        <v>0.37780457735935558</v>
      </c>
      <c r="S773">
        <v>3.3361248983937385E-3</v>
      </c>
      <c r="T773">
        <v>0.94</v>
      </c>
      <c r="U773">
        <v>0</v>
      </c>
      <c r="V773">
        <v>35.856175294138922</v>
      </c>
    </row>
    <row r="774" spans="1:22" x14ac:dyDescent="0.35">
      <c r="A774" t="s">
        <v>103</v>
      </c>
      <c r="B774" t="s">
        <v>6</v>
      </c>
      <c r="C774" t="s">
        <v>11</v>
      </c>
      <c r="D774">
        <v>0.93</v>
      </c>
      <c r="E774" t="s">
        <v>38</v>
      </c>
      <c r="F774" t="s">
        <v>34</v>
      </c>
      <c r="G774">
        <v>1</v>
      </c>
      <c r="H774">
        <v>77.991199999999694</v>
      </c>
      <c r="I774" t="s">
        <v>46</v>
      </c>
      <c r="J774" s="1">
        <v>44651</v>
      </c>
      <c r="K774">
        <v>25.3715917144469</v>
      </c>
      <c r="L774" s="1">
        <v>44664</v>
      </c>
      <c r="M774" s="1">
        <v>44661</v>
      </c>
      <c r="N774">
        <v>177.60114200112801</v>
      </c>
      <c r="O774">
        <v>-3</v>
      </c>
      <c r="P774" t="str">
        <f>IF(Table1[[#This Row],[Delivery Delay]]&gt;0,"Late","On Time")</f>
        <v>On Time</v>
      </c>
      <c r="Q774">
        <v>25.371591714446858</v>
      </c>
      <c r="R774">
        <v>5.8580925761179986E-2</v>
      </c>
      <c r="S774">
        <v>5.6305944248581947E-3</v>
      </c>
      <c r="T774">
        <v>0.93</v>
      </c>
      <c r="U774">
        <v>0</v>
      </c>
      <c r="V774">
        <v>29.240536347969346</v>
      </c>
    </row>
    <row r="775" spans="1:22" x14ac:dyDescent="0.35">
      <c r="A775" t="s">
        <v>104</v>
      </c>
      <c r="B775" t="s">
        <v>10</v>
      </c>
      <c r="C775" t="s">
        <v>7</v>
      </c>
      <c r="D775">
        <v>0.72</v>
      </c>
      <c r="E775" t="s">
        <v>38</v>
      </c>
      <c r="F775" t="s">
        <v>34</v>
      </c>
      <c r="G775">
        <v>1</v>
      </c>
      <c r="H775">
        <v>552.91039999999998</v>
      </c>
      <c r="I775" t="s">
        <v>47</v>
      </c>
      <c r="J775" s="1">
        <v>44957</v>
      </c>
      <c r="K775">
        <v>45.250154427905898</v>
      </c>
      <c r="L775" s="1">
        <v>44967</v>
      </c>
      <c r="M775" s="1">
        <v>44972</v>
      </c>
      <c r="N775">
        <v>271.50092656743499</v>
      </c>
      <c r="O775">
        <v>5</v>
      </c>
      <c r="P775" t="str">
        <f>IF(Table1[[#This Row],[Delivery Delay]]&gt;0,"Late","On Time")</f>
        <v>Late</v>
      </c>
      <c r="Q775">
        <v>45.250154427905834</v>
      </c>
      <c r="R775">
        <v>0.85942341840465153</v>
      </c>
      <c r="S775">
        <v>3.6832286822845207E-3</v>
      </c>
      <c r="T775">
        <v>0.72</v>
      </c>
      <c r="U775">
        <v>0</v>
      </c>
      <c r="V775">
        <v>38.898965228561565</v>
      </c>
    </row>
    <row r="776" spans="1:22" x14ac:dyDescent="0.35">
      <c r="A776" t="s">
        <v>105</v>
      </c>
      <c r="B776" t="s">
        <v>4</v>
      </c>
      <c r="C776" t="s">
        <v>9</v>
      </c>
      <c r="D776">
        <v>0.92</v>
      </c>
      <c r="E776" t="s">
        <v>36</v>
      </c>
      <c r="F776" t="s">
        <v>34</v>
      </c>
      <c r="G776">
        <v>1</v>
      </c>
      <c r="H776">
        <v>-12.072800000000001</v>
      </c>
      <c r="I776" t="s">
        <v>45</v>
      </c>
      <c r="J776" s="1">
        <v>44924</v>
      </c>
      <c r="K776">
        <v>59.999979622827901</v>
      </c>
      <c r="L776" s="1">
        <v>44938</v>
      </c>
      <c r="M776" s="1">
        <v>44939</v>
      </c>
      <c r="N776">
        <v>659.99977585110696</v>
      </c>
      <c r="O776">
        <v>1</v>
      </c>
      <c r="P776" t="str">
        <f>IF(Table1[[#This Row],[Delivery Delay]]&gt;0,"Late","On Time")</f>
        <v>Late</v>
      </c>
      <c r="Q776">
        <v>59.999979622827908</v>
      </c>
      <c r="R776">
        <v>0</v>
      </c>
      <c r="S776">
        <v>1.5151520297267428E-3</v>
      </c>
      <c r="T776">
        <v>0.92</v>
      </c>
      <c r="U776">
        <v>0</v>
      </c>
      <c r="V776">
        <v>27.645454560891803</v>
      </c>
    </row>
    <row r="777" spans="1:22" x14ac:dyDescent="0.35">
      <c r="A777" t="s">
        <v>106</v>
      </c>
      <c r="B777" t="s">
        <v>4</v>
      </c>
      <c r="C777" t="s">
        <v>7</v>
      </c>
      <c r="D777">
        <v>0.61</v>
      </c>
      <c r="E777" t="s">
        <v>38</v>
      </c>
      <c r="F777" t="s">
        <v>39</v>
      </c>
      <c r="G777">
        <v>0</v>
      </c>
      <c r="H777">
        <v>-0.851999999999975</v>
      </c>
      <c r="I777" t="s">
        <v>49</v>
      </c>
      <c r="J777" s="1">
        <v>45052</v>
      </c>
      <c r="K777">
        <v>14.581556651135299</v>
      </c>
      <c r="L777" s="1">
        <v>45067</v>
      </c>
      <c r="M777" s="1">
        <v>45067</v>
      </c>
      <c r="N777">
        <v>131.23400986021699</v>
      </c>
      <c r="O777">
        <v>0</v>
      </c>
      <c r="P777" t="str">
        <f>IF(Table1[[#This Row],[Delivery Delay]]&gt;0,"Late","On Time")</f>
        <v>On Time</v>
      </c>
      <c r="Q777">
        <v>14.581556651135221</v>
      </c>
      <c r="R777">
        <v>0</v>
      </c>
      <c r="S777">
        <v>7.619975957948273E-3</v>
      </c>
      <c r="T777">
        <v>0.61</v>
      </c>
      <c r="U777">
        <v>1</v>
      </c>
      <c r="V777">
        <v>38.528599278738454</v>
      </c>
    </row>
    <row r="778" spans="1:22" x14ac:dyDescent="0.35">
      <c r="A778" t="s">
        <v>108</v>
      </c>
      <c r="B778" t="s">
        <v>8</v>
      </c>
      <c r="C778" t="s">
        <v>5</v>
      </c>
      <c r="D778">
        <v>0.83</v>
      </c>
      <c r="E778" t="s">
        <v>38</v>
      </c>
      <c r="F778" t="s">
        <v>39</v>
      </c>
      <c r="G778">
        <v>0</v>
      </c>
      <c r="H778">
        <v>128.7424</v>
      </c>
      <c r="I778" t="s">
        <v>50</v>
      </c>
      <c r="J778" s="1">
        <v>44760</v>
      </c>
      <c r="K778">
        <v>53.891998348263101</v>
      </c>
      <c r="L778" s="1">
        <v>44780</v>
      </c>
      <c r="M778" s="1">
        <v>44779</v>
      </c>
      <c r="N778">
        <v>323.35199008957801</v>
      </c>
      <c r="O778">
        <v>-1</v>
      </c>
      <c r="P778" t="str">
        <f>IF(Table1[[#This Row],[Delivery Delay]]&gt;0,"Late","On Time")</f>
        <v>On Time</v>
      </c>
      <c r="Q778">
        <v>53.891998348263002</v>
      </c>
      <c r="R778">
        <v>0.44122743523941133</v>
      </c>
      <c r="S778">
        <v>3.0926050577977596E-3</v>
      </c>
      <c r="T778">
        <v>0.83</v>
      </c>
      <c r="U778">
        <v>1</v>
      </c>
      <c r="V778">
        <v>53.817326856522165</v>
      </c>
    </row>
    <row r="779" spans="1:22" x14ac:dyDescent="0.35">
      <c r="A779" t="s">
        <v>107</v>
      </c>
      <c r="B779" t="s">
        <v>14</v>
      </c>
      <c r="C779" t="s">
        <v>9</v>
      </c>
      <c r="D779">
        <v>0.69</v>
      </c>
      <c r="E779" t="s">
        <v>36</v>
      </c>
      <c r="F779" t="s">
        <v>34</v>
      </c>
      <c r="G779">
        <v>1</v>
      </c>
      <c r="H779">
        <v>637.02520000000004</v>
      </c>
      <c r="I779" t="s">
        <v>50</v>
      </c>
      <c r="J779" s="1">
        <v>44576</v>
      </c>
      <c r="K779">
        <v>52.213607057986003</v>
      </c>
      <c r="L779" s="1">
        <v>44590</v>
      </c>
      <c r="M779" s="1">
        <v>44587</v>
      </c>
      <c r="N779">
        <v>365.49524940590197</v>
      </c>
      <c r="O779">
        <v>-3</v>
      </c>
      <c r="P779" t="str">
        <f>IF(Table1[[#This Row],[Delivery Delay]]&gt;0,"Late","On Time")</f>
        <v>On Time</v>
      </c>
      <c r="Q779">
        <v>52.213607057985996</v>
      </c>
      <c r="R779">
        <v>0.42431143040448804</v>
      </c>
      <c r="S779">
        <v>2.7360136735715725E-3</v>
      </c>
      <c r="T779">
        <v>0.69</v>
      </c>
      <c r="U779">
        <v>0</v>
      </c>
      <c r="V779">
        <v>29.268309018296907</v>
      </c>
    </row>
    <row r="780" spans="1:22" x14ac:dyDescent="0.35">
      <c r="A780" t="s">
        <v>100</v>
      </c>
      <c r="B780" t="s">
        <v>12</v>
      </c>
      <c r="C780" t="s">
        <v>7</v>
      </c>
      <c r="D780">
        <v>0.65</v>
      </c>
      <c r="E780" t="s">
        <v>37</v>
      </c>
      <c r="F780" t="s">
        <v>34</v>
      </c>
      <c r="G780">
        <v>1</v>
      </c>
      <c r="H780">
        <v>496.21759999999898</v>
      </c>
      <c r="I780" t="s">
        <v>51</v>
      </c>
      <c r="J780" s="1">
        <v>44886</v>
      </c>
      <c r="K780">
        <v>10.2795090992366</v>
      </c>
      <c r="L780" s="1">
        <v>44898</v>
      </c>
      <c r="M780" s="1">
        <v>44904</v>
      </c>
      <c r="N780">
        <v>154.19263648854999</v>
      </c>
      <c r="O780">
        <v>6</v>
      </c>
      <c r="P780" t="str">
        <f>IF(Table1[[#This Row],[Delivery Delay]]&gt;0,"Late","On Time")</f>
        <v>Late</v>
      </c>
      <c r="Q780">
        <v>10.279509099236666</v>
      </c>
      <c r="R780">
        <v>0.32589771719438876</v>
      </c>
      <c r="S780">
        <v>6.4853940030674406E-3</v>
      </c>
      <c r="T780">
        <v>0.65</v>
      </c>
      <c r="U780">
        <v>0</v>
      </c>
      <c r="V780">
        <v>26.212516163979799</v>
      </c>
    </row>
    <row r="781" spans="1:22" x14ac:dyDescent="0.35">
      <c r="A781" t="s">
        <v>101</v>
      </c>
      <c r="B781" t="s">
        <v>4</v>
      </c>
      <c r="C781" t="s">
        <v>9</v>
      </c>
      <c r="D781">
        <v>0.63</v>
      </c>
      <c r="E781" t="s">
        <v>36</v>
      </c>
      <c r="F781" t="s">
        <v>34</v>
      </c>
      <c r="G781">
        <v>1</v>
      </c>
      <c r="H781">
        <v>575.55399999999997</v>
      </c>
      <c r="I781" t="s">
        <v>47</v>
      </c>
      <c r="J781" s="1">
        <v>44891</v>
      </c>
      <c r="K781">
        <v>39.1753738570576</v>
      </c>
      <c r="L781" s="1">
        <v>44908</v>
      </c>
      <c r="M781" s="1">
        <v>44914</v>
      </c>
      <c r="N781">
        <v>548.45523399880597</v>
      </c>
      <c r="O781">
        <v>6</v>
      </c>
      <c r="P781" t="str">
        <f>IF(Table1[[#This Row],[Delivery Delay]]&gt;0,"Late","On Time")</f>
        <v>Late</v>
      </c>
      <c r="Q781">
        <v>39.175373857057572</v>
      </c>
      <c r="R781">
        <v>0.73712993273600036</v>
      </c>
      <c r="S781">
        <v>1.823302865958568E-3</v>
      </c>
      <c r="T781">
        <v>0.63</v>
      </c>
      <c r="U781">
        <v>0</v>
      </c>
      <c r="V781">
        <v>33.697297740698758</v>
      </c>
    </row>
    <row r="782" spans="1:22" x14ac:dyDescent="0.35">
      <c r="A782" t="s">
        <v>102</v>
      </c>
      <c r="B782" t="s">
        <v>8</v>
      </c>
      <c r="C782" t="s">
        <v>9</v>
      </c>
      <c r="D782">
        <v>0.87</v>
      </c>
      <c r="E782" t="s">
        <v>37</v>
      </c>
      <c r="F782" t="s">
        <v>34</v>
      </c>
      <c r="G782">
        <v>1</v>
      </c>
      <c r="H782">
        <v>181.18559999999999</v>
      </c>
      <c r="I782" t="s">
        <v>45</v>
      </c>
      <c r="J782" s="1">
        <v>44902</v>
      </c>
      <c r="K782">
        <v>51.629755007595499</v>
      </c>
      <c r="L782" s="1">
        <v>44926</v>
      </c>
      <c r="M782" s="1">
        <v>44928</v>
      </c>
      <c r="N782">
        <v>671.18681509874102</v>
      </c>
      <c r="O782">
        <v>2</v>
      </c>
      <c r="P782" t="str">
        <f>IF(Table1[[#This Row],[Delivery Delay]]&gt;0,"Late","On Time")</f>
        <v>Late</v>
      </c>
      <c r="Q782">
        <v>51.629755007595463</v>
      </c>
      <c r="R782">
        <v>0.14326759579765591</v>
      </c>
      <c r="S782">
        <v>1.4898981587605918E-3</v>
      </c>
      <c r="T782">
        <v>0.87</v>
      </c>
      <c r="U782">
        <v>0</v>
      </c>
      <c r="V782">
        <v>29.010048860715937</v>
      </c>
    </row>
    <row r="783" spans="1:22" x14ac:dyDescent="0.35">
      <c r="A783" t="s">
        <v>99</v>
      </c>
      <c r="B783" t="s">
        <v>8</v>
      </c>
      <c r="C783" t="s">
        <v>9</v>
      </c>
      <c r="D783">
        <v>0.73</v>
      </c>
      <c r="E783" t="s">
        <v>38</v>
      </c>
      <c r="F783" t="s">
        <v>39</v>
      </c>
      <c r="G783">
        <v>0</v>
      </c>
      <c r="H783">
        <v>288.38639999999998</v>
      </c>
      <c r="I783" t="s">
        <v>47</v>
      </c>
      <c r="J783" s="1">
        <v>45322</v>
      </c>
      <c r="K783">
        <v>18.571294935683099</v>
      </c>
      <c r="L783" s="1">
        <v>45341</v>
      </c>
      <c r="M783" s="1">
        <v>45338</v>
      </c>
      <c r="N783">
        <v>167.14165442114799</v>
      </c>
      <c r="O783">
        <v>-3</v>
      </c>
      <c r="P783" t="str">
        <f>IF(Table1[[#This Row],[Delivery Delay]]&gt;0,"Late","On Time")</f>
        <v>On Time</v>
      </c>
      <c r="Q783">
        <v>18.57129493568311</v>
      </c>
      <c r="R783">
        <v>0.21098977895071386</v>
      </c>
      <c r="S783">
        <v>5.9829490348366002E-3</v>
      </c>
      <c r="T783">
        <v>0.73</v>
      </c>
      <c r="U783">
        <v>1</v>
      </c>
      <c r="V783">
        <v>46.299284050059377</v>
      </c>
    </row>
    <row r="784" spans="1:22" x14ac:dyDescent="0.35">
      <c r="A784" t="s">
        <v>103</v>
      </c>
      <c r="B784" t="s">
        <v>6</v>
      </c>
      <c r="C784" t="s">
        <v>7</v>
      </c>
      <c r="D784">
        <v>0.88</v>
      </c>
      <c r="E784" t="s">
        <v>36</v>
      </c>
      <c r="F784" t="s">
        <v>39</v>
      </c>
      <c r="G784">
        <v>0</v>
      </c>
      <c r="H784">
        <v>327.74200000000002</v>
      </c>
      <c r="I784" t="s">
        <v>48</v>
      </c>
      <c r="J784" s="1">
        <v>44284</v>
      </c>
      <c r="K784">
        <v>17.267193494345101</v>
      </c>
      <c r="L784" s="1">
        <v>44307</v>
      </c>
      <c r="M784" s="1">
        <v>44310</v>
      </c>
      <c r="N784">
        <v>241.74070892083199</v>
      </c>
      <c r="O784">
        <v>3</v>
      </c>
      <c r="P784" t="str">
        <f>IF(Table1[[#This Row],[Delivery Delay]]&gt;0,"Late","On Time")</f>
        <v>Late</v>
      </c>
      <c r="Q784">
        <v>17.267193494345143</v>
      </c>
      <c r="R784">
        <v>0.61102348699247933</v>
      </c>
      <c r="S784">
        <v>4.1366636362743991E-3</v>
      </c>
      <c r="T784">
        <v>0.88</v>
      </c>
      <c r="U784">
        <v>1</v>
      </c>
      <c r="V784">
        <v>58.744569648937819</v>
      </c>
    </row>
    <row r="785" spans="1:22" x14ac:dyDescent="0.35">
      <c r="A785" t="s">
        <v>104</v>
      </c>
      <c r="B785" t="s">
        <v>10</v>
      </c>
      <c r="C785" t="s">
        <v>5</v>
      </c>
      <c r="D785">
        <v>0.63</v>
      </c>
      <c r="E785" t="s">
        <v>35</v>
      </c>
      <c r="F785" t="s">
        <v>34</v>
      </c>
      <c r="G785">
        <v>1</v>
      </c>
      <c r="H785">
        <v>-91.535399999999896</v>
      </c>
      <c r="I785" t="s">
        <v>45</v>
      </c>
      <c r="J785" s="1">
        <v>45118</v>
      </c>
      <c r="K785">
        <v>77.327318951922393</v>
      </c>
      <c r="L785" s="1">
        <v>45136</v>
      </c>
      <c r="M785" s="1">
        <v>45134</v>
      </c>
      <c r="N785">
        <v>1159.9097842788301</v>
      </c>
      <c r="O785">
        <v>-2</v>
      </c>
      <c r="P785" t="str">
        <f>IF(Table1[[#This Row],[Delivery Delay]]&gt;0,"Late","On Time")</f>
        <v>On Time</v>
      </c>
      <c r="Q785">
        <v>77.32731895192201</v>
      </c>
      <c r="R785">
        <v>0</v>
      </c>
      <c r="S785">
        <v>8.6213601570896874E-4</v>
      </c>
      <c r="T785">
        <v>0.63</v>
      </c>
      <c r="U785">
        <v>0</v>
      </c>
      <c r="V785">
        <v>18.925864080471268</v>
      </c>
    </row>
    <row r="786" spans="1:22" x14ac:dyDescent="0.35">
      <c r="A786" t="s">
        <v>105</v>
      </c>
      <c r="B786" t="s">
        <v>14</v>
      </c>
      <c r="C786" t="s">
        <v>9</v>
      </c>
      <c r="D786">
        <v>0.72</v>
      </c>
      <c r="E786" t="s">
        <v>35</v>
      </c>
      <c r="F786" t="s">
        <v>34</v>
      </c>
      <c r="G786">
        <v>1</v>
      </c>
      <c r="H786">
        <v>860.86489999999901</v>
      </c>
      <c r="I786" t="s">
        <v>50</v>
      </c>
      <c r="J786" s="1">
        <v>44815</v>
      </c>
      <c r="K786">
        <v>52.534530729085098</v>
      </c>
      <c r="L786" s="1">
        <v>44838</v>
      </c>
      <c r="M786" s="1">
        <v>44839</v>
      </c>
      <c r="N786">
        <v>577.87983801993596</v>
      </c>
      <c r="O786">
        <v>1</v>
      </c>
      <c r="P786" t="str">
        <f>IF(Table1[[#This Row],[Delivery Delay]]&gt;0,"Late","On Time")</f>
        <v>Late</v>
      </c>
      <c r="Q786">
        <v>52.534530729085084</v>
      </c>
      <c r="R786">
        <v>0.41122320652630007</v>
      </c>
      <c r="S786">
        <v>1.7304635569678787E-3</v>
      </c>
      <c r="T786">
        <v>0.72</v>
      </c>
      <c r="U786">
        <v>0</v>
      </c>
      <c r="V786">
        <v>29.876378037235042</v>
      </c>
    </row>
    <row r="787" spans="1:22" x14ac:dyDescent="0.35">
      <c r="A787" t="s">
        <v>106</v>
      </c>
      <c r="B787" t="s">
        <v>12</v>
      </c>
      <c r="C787" t="s">
        <v>7</v>
      </c>
      <c r="D787">
        <v>0.81</v>
      </c>
      <c r="E787" t="s">
        <v>38</v>
      </c>
      <c r="F787" t="s">
        <v>34</v>
      </c>
      <c r="G787">
        <v>1</v>
      </c>
      <c r="H787">
        <v>337.892799999999</v>
      </c>
      <c r="I787" t="s">
        <v>50</v>
      </c>
      <c r="J787" s="1">
        <v>45085</v>
      </c>
      <c r="K787">
        <v>53.343983102921896</v>
      </c>
      <c r="L787" s="1">
        <v>45101</v>
      </c>
      <c r="M787" s="1">
        <v>45099</v>
      </c>
      <c r="N787">
        <v>480.09584792629698</v>
      </c>
      <c r="O787">
        <v>-2</v>
      </c>
      <c r="P787" t="str">
        <f>IF(Table1[[#This Row],[Delivery Delay]]&gt;0,"Late","On Time")</f>
        <v>On Time</v>
      </c>
      <c r="Q787">
        <v>53.343983102921889</v>
      </c>
      <c r="R787">
        <v>0.67614693292095229</v>
      </c>
      <c r="S787">
        <v>2.0829174097617216E-3</v>
      </c>
      <c r="T787">
        <v>0.81</v>
      </c>
      <c r="U787">
        <v>0</v>
      </c>
      <c r="V787">
        <v>37.885426180711896</v>
      </c>
    </row>
    <row r="788" spans="1:22" x14ac:dyDescent="0.35">
      <c r="A788" t="s">
        <v>108</v>
      </c>
      <c r="B788" t="s">
        <v>13</v>
      </c>
      <c r="C788" t="s">
        <v>9</v>
      </c>
      <c r="D788">
        <v>0.91</v>
      </c>
      <c r="E788" t="s">
        <v>35</v>
      </c>
      <c r="F788" t="s">
        <v>34</v>
      </c>
      <c r="G788">
        <v>1</v>
      </c>
      <c r="H788">
        <v>60.984999999999999</v>
      </c>
      <c r="I788" t="s">
        <v>45</v>
      </c>
      <c r="J788" s="1">
        <v>45242</v>
      </c>
      <c r="K788">
        <v>69.830668046105501</v>
      </c>
      <c r="L788" s="1">
        <v>45254</v>
      </c>
      <c r="M788" s="1">
        <v>45256</v>
      </c>
      <c r="N788">
        <v>1047.46002069158</v>
      </c>
      <c r="O788">
        <v>2</v>
      </c>
      <c r="P788" t="str">
        <f>IF(Table1[[#This Row],[Delivery Delay]]&gt;0,"Late","On Time")</f>
        <v>Late</v>
      </c>
      <c r="Q788">
        <v>69.83066804610533</v>
      </c>
      <c r="R788">
        <v>0.43878835845594844</v>
      </c>
      <c r="S788">
        <v>9.5469037504625264E-4</v>
      </c>
      <c r="T788">
        <v>0.91</v>
      </c>
      <c r="U788">
        <v>0</v>
      </c>
      <c r="V788">
        <v>36.10440788037036</v>
      </c>
    </row>
    <row r="789" spans="1:22" x14ac:dyDescent="0.35">
      <c r="A789" t="s">
        <v>102</v>
      </c>
      <c r="B789" t="s">
        <v>15</v>
      </c>
      <c r="C789" t="s">
        <v>11</v>
      </c>
      <c r="D789">
        <v>0.72</v>
      </c>
      <c r="E789" t="s">
        <v>37</v>
      </c>
      <c r="F789" t="s">
        <v>34</v>
      </c>
      <c r="G789">
        <v>1</v>
      </c>
      <c r="H789">
        <v>288.05189999999999</v>
      </c>
      <c r="I789" t="s">
        <v>50</v>
      </c>
      <c r="J789" s="1">
        <v>45240</v>
      </c>
      <c r="K789">
        <v>53.523024238010201</v>
      </c>
      <c r="L789" s="1">
        <v>45259</v>
      </c>
      <c r="M789" s="1">
        <v>45259</v>
      </c>
      <c r="N789">
        <v>749.32233933214297</v>
      </c>
      <c r="O789">
        <v>0</v>
      </c>
      <c r="P789" t="str">
        <f>IF(Table1[[#This Row],[Delivery Delay]]&gt;0,"Late","On Time")</f>
        <v>On Time</v>
      </c>
      <c r="Q789">
        <v>53.523024238010215</v>
      </c>
      <c r="R789">
        <v>0.46245026545160489</v>
      </c>
      <c r="S789">
        <v>1.3345391529248699E-3</v>
      </c>
      <c r="T789">
        <v>0.72</v>
      </c>
      <c r="U789">
        <v>0</v>
      </c>
      <c r="V789">
        <v>30.889041483619845</v>
      </c>
    </row>
    <row r="790" spans="1:22" x14ac:dyDescent="0.35">
      <c r="A790" t="s">
        <v>99</v>
      </c>
      <c r="B790" t="s">
        <v>10</v>
      </c>
      <c r="C790" t="s">
        <v>9</v>
      </c>
      <c r="D790">
        <v>0.84</v>
      </c>
      <c r="E790" t="s">
        <v>36</v>
      </c>
      <c r="F790" t="s">
        <v>34</v>
      </c>
      <c r="G790">
        <v>1</v>
      </c>
      <c r="H790">
        <v>36.6129999999999</v>
      </c>
      <c r="I790" t="s">
        <v>49</v>
      </c>
      <c r="J790" s="1">
        <v>44634</v>
      </c>
      <c r="K790">
        <v>7.1263965031320202</v>
      </c>
      <c r="L790" s="1">
        <v>44644</v>
      </c>
      <c r="M790" s="1">
        <v>44650</v>
      </c>
      <c r="N790">
        <v>78.390361534452296</v>
      </c>
      <c r="O790">
        <v>6</v>
      </c>
      <c r="P790" t="str">
        <f>IF(Table1[[#This Row],[Delivery Delay]]&gt;0,"Late","On Time")</f>
        <v>Late</v>
      </c>
      <c r="Q790">
        <v>7.1263965031320273</v>
      </c>
      <c r="R790">
        <v>0.47082802875403396</v>
      </c>
      <c r="S790">
        <v>1.2756670340913065E-2</v>
      </c>
      <c r="T790">
        <v>0.84</v>
      </c>
      <c r="U790">
        <v>0</v>
      </c>
      <c r="V790">
        <v>34.999260685308073</v>
      </c>
    </row>
    <row r="791" spans="1:22" x14ac:dyDescent="0.35">
      <c r="A791" t="s">
        <v>103</v>
      </c>
      <c r="B791" t="s">
        <v>10</v>
      </c>
      <c r="C791" t="s">
        <v>11</v>
      </c>
      <c r="D791">
        <v>0.95</v>
      </c>
      <c r="E791" t="s">
        <v>37</v>
      </c>
      <c r="F791" t="s">
        <v>34</v>
      </c>
      <c r="G791">
        <v>1</v>
      </c>
      <c r="H791">
        <v>3.5903999999999301</v>
      </c>
      <c r="I791" t="s">
        <v>45</v>
      </c>
      <c r="J791" s="1">
        <v>45313</v>
      </c>
      <c r="K791">
        <v>73.004982404946801</v>
      </c>
      <c r="L791" s="1">
        <v>45336</v>
      </c>
      <c r="M791" s="1">
        <v>45340</v>
      </c>
      <c r="N791">
        <v>1022.06975366925</v>
      </c>
      <c r="O791">
        <v>4</v>
      </c>
      <c r="P791" t="str">
        <f>IF(Table1[[#This Row],[Delivery Delay]]&gt;0,"Late","On Time")</f>
        <v>Late</v>
      </c>
      <c r="Q791">
        <v>73.004982404946432</v>
      </c>
      <c r="R791">
        <v>6.2347361489667403E-3</v>
      </c>
      <c r="S791">
        <v>9.7840680287229016E-4</v>
      </c>
      <c r="T791">
        <v>0.95</v>
      </c>
      <c r="U791">
        <v>0</v>
      </c>
      <c r="V791">
        <v>28.654046927065501</v>
      </c>
    </row>
    <row r="792" spans="1:22" x14ac:dyDescent="0.35">
      <c r="A792" t="s">
        <v>104</v>
      </c>
      <c r="B792" t="s">
        <v>6</v>
      </c>
      <c r="C792" t="s">
        <v>7</v>
      </c>
      <c r="D792">
        <v>0.84</v>
      </c>
      <c r="E792" t="s">
        <v>35</v>
      </c>
      <c r="F792" t="s">
        <v>34</v>
      </c>
      <c r="G792">
        <v>1</v>
      </c>
      <c r="H792">
        <v>574.22450000000003</v>
      </c>
      <c r="I792" t="s">
        <v>47</v>
      </c>
      <c r="J792" s="1">
        <v>44840</v>
      </c>
      <c r="K792">
        <v>23.690765518698399</v>
      </c>
      <c r="L792" s="1">
        <v>44862</v>
      </c>
      <c r="M792" s="1">
        <v>44866</v>
      </c>
      <c r="N792">
        <v>142.14459311218999</v>
      </c>
      <c r="O792">
        <v>4</v>
      </c>
      <c r="P792" t="str">
        <f>IF(Table1[[#This Row],[Delivery Delay]]&gt;0,"Late","On Time")</f>
        <v>Late</v>
      </c>
      <c r="Q792">
        <v>23.690765518698331</v>
      </c>
      <c r="R792">
        <v>0.65018238185092536</v>
      </c>
      <c r="S792">
        <v>7.0350899609015255E-3</v>
      </c>
      <c r="T792">
        <v>0.84</v>
      </c>
      <c r="U792">
        <v>0</v>
      </c>
      <c r="V792">
        <v>38.414700335845552</v>
      </c>
    </row>
    <row r="793" spans="1:22" x14ac:dyDescent="0.35">
      <c r="A793" t="s">
        <v>105</v>
      </c>
      <c r="B793" t="s">
        <v>13</v>
      </c>
      <c r="C793" t="s">
        <v>5</v>
      </c>
      <c r="D793">
        <v>0.69</v>
      </c>
      <c r="E793" t="s">
        <v>38</v>
      </c>
      <c r="F793" t="s">
        <v>34</v>
      </c>
      <c r="G793">
        <v>1</v>
      </c>
      <c r="H793">
        <v>-89.859200000000101</v>
      </c>
      <c r="I793" t="s">
        <v>45</v>
      </c>
      <c r="J793" s="1">
        <v>45189</v>
      </c>
      <c r="K793">
        <v>6.58236038031127</v>
      </c>
      <c r="L793" s="1">
        <v>45207</v>
      </c>
      <c r="M793" s="1">
        <v>45212</v>
      </c>
      <c r="N793">
        <v>52.658883042490103</v>
      </c>
      <c r="O793">
        <v>5</v>
      </c>
      <c r="P793" t="str">
        <f>IF(Table1[[#This Row],[Delivery Delay]]&gt;0,"Late","On Time")</f>
        <v>Late</v>
      </c>
      <c r="Q793">
        <v>6.5823603803112629</v>
      </c>
      <c r="R793">
        <v>0</v>
      </c>
      <c r="S793">
        <v>1.8990148332487543E-2</v>
      </c>
      <c r="T793">
        <v>0.69</v>
      </c>
      <c r="U793">
        <v>0</v>
      </c>
      <c r="V793">
        <v>21.269704449974626</v>
      </c>
    </row>
    <row r="794" spans="1:22" x14ac:dyDescent="0.35">
      <c r="A794" t="s">
        <v>106</v>
      </c>
      <c r="B794" t="s">
        <v>4</v>
      </c>
      <c r="C794" t="s">
        <v>9</v>
      </c>
      <c r="D794">
        <v>0.61</v>
      </c>
      <c r="E794" t="s">
        <v>37</v>
      </c>
      <c r="F794" t="s">
        <v>34</v>
      </c>
      <c r="G794">
        <v>1</v>
      </c>
      <c r="H794">
        <v>354.73950000000002</v>
      </c>
      <c r="I794" t="s">
        <v>50</v>
      </c>
      <c r="J794" s="1">
        <v>44465</v>
      </c>
      <c r="K794">
        <v>52.3605033421115</v>
      </c>
      <c r="L794" s="1">
        <v>44476</v>
      </c>
      <c r="M794" s="1">
        <v>44481</v>
      </c>
      <c r="N794">
        <v>418.884026736892</v>
      </c>
      <c r="O794">
        <v>5</v>
      </c>
      <c r="P794" t="str">
        <f>IF(Table1[[#This Row],[Delivery Delay]]&gt;0,"Late","On Time")</f>
        <v>Late</v>
      </c>
      <c r="Q794">
        <v>52.3605033421115</v>
      </c>
      <c r="R794">
        <v>0.28976315500357575</v>
      </c>
      <c r="S794">
        <v>2.3872956144687669E-3</v>
      </c>
      <c r="T794">
        <v>0.61</v>
      </c>
      <c r="U794">
        <v>0</v>
      </c>
      <c r="V794">
        <v>24.166881968505578</v>
      </c>
    </row>
    <row r="795" spans="1:22" x14ac:dyDescent="0.35">
      <c r="A795" t="s">
        <v>108</v>
      </c>
      <c r="B795" t="s">
        <v>4</v>
      </c>
      <c r="C795" t="s">
        <v>9</v>
      </c>
      <c r="D795">
        <v>0.94</v>
      </c>
      <c r="E795" t="s">
        <v>36</v>
      </c>
      <c r="F795" t="s">
        <v>39</v>
      </c>
      <c r="G795">
        <v>0</v>
      </c>
      <c r="H795">
        <v>82.4879999999999</v>
      </c>
      <c r="I795" t="s">
        <v>49</v>
      </c>
      <c r="J795" s="1">
        <v>44389</v>
      </c>
      <c r="K795">
        <v>36.3204208225402</v>
      </c>
      <c r="L795" s="1">
        <v>44410</v>
      </c>
      <c r="M795" s="1">
        <v>44410</v>
      </c>
      <c r="N795">
        <v>581.12673316064399</v>
      </c>
      <c r="O795">
        <v>0</v>
      </c>
      <c r="P795" t="str">
        <f>IF(Table1[[#This Row],[Delivery Delay]]&gt;0,"Late","On Time")</f>
        <v>On Time</v>
      </c>
      <c r="Q795">
        <v>36.32042082254025</v>
      </c>
      <c r="R795">
        <v>0.1159112370160529</v>
      </c>
      <c r="S795">
        <v>1.7207950399410804E-3</v>
      </c>
      <c r="T795">
        <v>0.94</v>
      </c>
      <c r="U795">
        <v>1</v>
      </c>
      <c r="V795">
        <v>50.569848591519296</v>
      </c>
    </row>
    <row r="796" spans="1:22" x14ac:dyDescent="0.35">
      <c r="A796" t="s">
        <v>107</v>
      </c>
      <c r="B796" t="s">
        <v>6</v>
      </c>
      <c r="C796" t="s">
        <v>9</v>
      </c>
      <c r="D796">
        <v>0.61</v>
      </c>
      <c r="E796" t="s">
        <v>35</v>
      </c>
      <c r="F796" t="s">
        <v>34</v>
      </c>
      <c r="G796">
        <v>1</v>
      </c>
      <c r="H796">
        <v>419.51600000000002</v>
      </c>
      <c r="I796" t="s">
        <v>49</v>
      </c>
      <c r="J796" s="1">
        <v>44423</v>
      </c>
      <c r="K796">
        <v>60.9699571628393</v>
      </c>
      <c r="L796" s="1">
        <v>44442</v>
      </c>
      <c r="M796" s="1">
        <v>44446</v>
      </c>
      <c r="N796">
        <v>609.69957162839296</v>
      </c>
      <c r="O796">
        <v>4</v>
      </c>
      <c r="P796" t="str">
        <f>IF(Table1[[#This Row],[Delivery Delay]]&gt;0,"Late","On Time")</f>
        <v>Late</v>
      </c>
      <c r="Q796">
        <v>60.969957162839293</v>
      </c>
      <c r="R796">
        <v>0.21627256211605997</v>
      </c>
      <c r="S796">
        <v>1.6401520462433457E-3</v>
      </c>
      <c r="T796">
        <v>0.61</v>
      </c>
      <c r="U796">
        <v>0</v>
      </c>
      <c r="V796">
        <v>22.6746558037085</v>
      </c>
    </row>
    <row r="797" spans="1:22" x14ac:dyDescent="0.35">
      <c r="A797" t="s">
        <v>100</v>
      </c>
      <c r="B797" t="s">
        <v>8</v>
      </c>
      <c r="C797" t="s">
        <v>7</v>
      </c>
      <c r="D797">
        <v>0.94</v>
      </c>
      <c r="E797" t="s">
        <v>35</v>
      </c>
      <c r="F797" t="s">
        <v>34</v>
      </c>
      <c r="G797">
        <v>1</v>
      </c>
      <c r="H797">
        <v>405.38720000000001</v>
      </c>
      <c r="I797" t="s">
        <v>48</v>
      </c>
      <c r="J797" s="1">
        <v>44808</v>
      </c>
      <c r="K797">
        <v>61.616017894560997</v>
      </c>
      <c r="L797" s="1">
        <v>44823</v>
      </c>
      <c r="M797" s="1">
        <v>44829</v>
      </c>
      <c r="N797">
        <v>1232.3203578912101</v>
      </c>
      <c r="O797">
        <v>6</v>
      </c>
      <c r="P797" t="str">
        <f>IF(Table1[[#This Row],[Delivery Delay]]&gt;0,"Late","On Time")</f>
        <v>Late</v>
      </c>
      <c r="Q797">
        <v>61.6160178945605</v>
      </c>
      <c r="R797">
        <v>0.35067271773536124</v>
      </c>
      <c r="S797">
        <v>8.114773026319513E-4</v>
      </c>
      <c r="T797">
        <v>0.94</v>
      </c>
      <c r="U797">
        <v>0</v>
      </c>
      <c r="V797">
        <v>35.23779867378618</v>
      </c>
    </row>
    <row r="798" spans="1:22" x14ac:dyDescent="0.35">
      <c r="A798" t="s">
        <v>101</v>
      </c>
      <c r="B798" t="s">
        <v>4</v>
      </c>
      <c r="C798" t="s">
        <v>9</v>
      </c>
      <c r="D798">
        <v>0.81</v>
      </c>
      <c r="E798" t="s">
        <v>38</v>
      </c>
      <c r="F798" t="s">
        <v>34</v>
      </c>
      <c r="G798">
        <v>1</v>
      </c>
      <c r="H798">
        <v>406.56849999999997</v>
      </c>
      <c r="I798" t="s">
        <v>47</v>
      </c>
      <c r="J798" s="1">
        <v>44956</v>
      </c>
      <c r="K798">
        <v>55.918839904022398</v>
      </c>
      <c r="L798" s="1">
        <v>44979</v>
      </c>
      <c r="M798" s="1">
        <v>44979</v>
      </c>
      <c r="N798">
        <v>671.02607884826898</v>
      </c>
      <c r="O798">
        <v>0</v>
      </c>
      <c r="P798" t="str">
        <f>IF(Table1[[#This Row],[Delivery Delay]]&gt;0,"Late","On Time")</f>
        <v>On Time</v>
      </c>
      <c r="Q798">
        <v>55.918839904022413</v>
      </c>
      <c r="R798">
        <v>0.40045416557295332</v>
      </c>
      <c r="S798">
        <v>1.4902550459981719E-3</v>
      </c>
      <c r="T798">
        <v>0.81</v>
      </c>
      <c r="U798">
        <v>0</v>
      </c>
      <c r="V798">
        <v>32.353790962839014</v>
      </c>
    </row>
    <row r="799" spans="1:22" x14ac:dyDescent="0.35">
      <c r="A799" t="s">
        <v>102</v>
      </c>
      <c r="B799" t="s">
        <v>14</v>
      </c>
      <c r="C799" t="s">
        <v>9</v>
      </c>
      <c r="D799">
        <v>0.97</v>
      </c>
      <c r="E799" t="s">
        <v>36</v>
      </c>
      <c r="F799" t="s">
        <v>34</v>
      </c>
      <c r="G799">
        <v>1</v>
      </c>
      <c r="H799">
        <v>134.15079999999901</v>
      </c>
      <c r="I799" t="s">
        <v>46</v>
      </c>
      <c r="J799" s="1">
        <v>45069</v>
      </c>
      <c r="K799">
        <v>6.9760143163672304</v>
      </c>
      <c r="L799" s="1">
        <v>45085</v>
      </c>
      <c r="M799" s="1">
        <v>45084</v>
      </c>
      <c r="N799">
        <v>76.736157480039495</v>
      </c>
      <c r="O799">
        <v>-1</v>
      </c>
      <c r="P799" t="str">
        <f>IF(Table1[[#This Row],[Delivery Delay]]&gt;0,"Late","On Time")</f>
        <v>On Time</v>
      </c>
      <c r="Q799">
        <v>6.9760143163672268</v>
      </c>
      <c r="R799">
        <v>0.11174942155545614</v>
      </c>
      <c r="S799">
        <v>1.3031666333567962E-2</v>
      </c>
      <c r="T799">
        <v>0.97</v>
      </c>
      <c r="U799">
        <v>0</v>
      </c>
      <c r="V799">
        <v>31.725938421116162</v>
      </c>
    </row>
    <row r="800" spans="1:22" x14ac:dyDescent="0.35">
      <c r="A800" t="s">
        <v>99</v>
      </c>
      <c r="B800" t="s">
        <v>12</v>
      </c>
      <c r="C800" t="s">
        <v>7</v>
      </c>
      <c r="D800">
        <v>0.91</v>
      </c>
      <c r="E800" t="s">
        <v>36</v>
      </c>
      <c r="F800" t="s">
        <v>34</v>
      </c>
      <c r="G800">
        <v>1</v>
      </c>
      <c r="H800">
        <v>518.14239999999995</v>
      </c>
      <c r="I800" t="s">
        <v>46</v>
      </c>
      <c r="J800" s="1">
        <v>44298</v>
      </c>
      <c r="K800">
        <v>30.2644963829745</v>
      </c>
      <c r="L800" s="1">
        <v>44310</v>
      </c>
      <c r="M800" s="1">
        <v>44307</v>
      </c>
      <c r="N800">
        <v>332.90946021271901</v>
      </c>
      <c r="O800">
        <v>-3</v>
      </c>
      <c r="P800" t="str">
        <f>IF(Table1[[#This Row],[Delivery Delay]]&gt;0,"Late","On Time")</f>
        <v>On Time</v>
      </c>
      <c r="Q800">
        <v>30.264496382974457</v>
      </c>
      <c r="R800">
        <v>0.65725552754742178</v>
      </c>
      <c r="S800">
        <v>3.0038197153094731E-3</v>
      </c>
      <c r="T800">
        <v>0.91</v>
      </c>
      <c r="U800">
        <v>0</v>
      </c>
      <c r="V800">
        <v>40.535225142407718</v>
      </c>
    </row>
    <row r="801" spans="1:22" x14ac:dyDescent="0.35">
      <c r="A801" t="s">
        <v>103</v>
      </c>
      <c r="B801" t="s">
        <v>10</v>
      </c>
      <c r="C801" t="s">
        <v>9</v>
      </c>
      <c r="D801">
        <v>0.99</v>
      </c>
      <c r="E801" t="s">
        <v>35</v>
      </c>
      <c r="F801" t="s">
        <v>34</v>
      </c>
      <c r="G801">
        <v>1</v>
      </c>
      <c r="H801">
        <v>156.83999999999901</v>
      </c>
      <c r="I801" t="s">
        <v>45</v>
      </c>
      <c r="J801" s="1">
        <v>44856</v>
      </c>
      <c r="K801">
        <v>55.468910649510697</v>
      </c>
      <c r="L801" s="1">
        <v>44869</v>
      </c>
      <c r="M801" s="1">
        <v>44874</v>
      </c>
      <c r="N801">
        <v>665.62692779412896</v>
      </c>
      <c r="O801">
        <v>5</v>
      </c>
      <c r="P801" t="str">
        <f>IF(Table1[[#This Row],[Delivery Delay]]&gt;0,"Late","On Time")</f>
        <v>Late</v>
      </c>
      <c r="Q801">
        <v>55.468910649510747</v>
      </c>
      <c r="R801">
        <v>0.29096170970614244</v>
      </c>
      <c r="S801">
        <v>1.5023430667295494E-3</v>
      </c>
      <c r="T801">
        <v>0.99</v>
      </c>
      <c r="U801">
        <v>0</v>
      </c>
      <c r="V801">
        <v>35.564304486124733</v>
      </c>
    </row>
    <row r="802" spans="1:22" x14ac:dyDescent="0.35">
      <c r="A802" t="s">
        <v>104</v>
      </c>
      <c r="B802" t="s">
        <v>4</v>
      </c>
      <c r="C802" t="s">
        <v>5</v>
      </c>
      <c r="D802">
        <v>0.75</v>
      </c>
      <c r="E802" t="s">
        <v>37</v>
      </c>
      <c r="F802" t="s">
        <v>39</v>
      </c>
      <c r="G802">
        <v>0</v>
      </c>
      <c r="H802">
        <v>47.066399999999902</v>
      </c>
      <c r="I802" t="s">
        <v>50</v>
      </c>
      <c r="J802" s="1">
        <v>44989</v>
      </c>
      <c r="K802">
        <v>22.5561557887033</v>
      </c>
      <c r="L802" s="1">
        <v>45003</v>
      </c>
      <c r="M802" s="1">
        <v>45008</v>
      </c>
      <c r="N802">
        <v>225.56155788703299</v>
      </c>
      <c r="O802">
        <v>5</v>
      </c>
      <c r="P802" t="str">
        <f>IF(Table1[[#This Row],[Delivery Delay]]&gt;0,"Late","On Time")</f>
        <v>Late</v>
      </c>
      <c r="Q802">
        <v>22.5561557887033</v>
      </c>
      <c r="R802">
        <v>0.16216015082357632</v>
      </c>
      <c r="S802">
        <v>4.4333795588556166E-3</v>
      </c>
      <c r="T802">
        <v>0.75</v>
      </c>
      <c r="U802">
        <v>1</v>
      </c>
      <c r="V802">
        <v>45.876204403237189</v>
      </c>
    </row>
    <row r="803" spans="1:22" x14ac:dyDescent="0.35">
      <c r="A803" t="s">
        <v>105</v>
      </c>
      <c r="B803" t="s">
        <v>6</v>
      </c>
      <c r="C803" t="s">
        <v>7</v>
      </c>
      <c r="D803">
        <v>0.8</v>
      </c>
      <c r="E803" t="s">
        <v>37</v>
      </c>
      <c r="F803" t="s">
        <v>39</v>
      </c>
      <c r="G803">
        <v>0</v>
      </c>
      <c r="H803">
        <v>152.27749999999901</v>
      </c>
      <c r="I803" t="s">
        <v>47</v>
      </c>
      <c r="J803" s="1">
        <v>45006</v>
      </c>
      <c r="K803">
        <v>45.477126087153898</v>
      </c>
      <c r="L803" s="1">
        <v>45021</v>
      </c>
      <c r="M803" s="1">
        <v>45019</v>
      </c>
      <c r="N803">
        <v>409.29413478438499</v>
      </c>
      <c r="O803">
        <v>-2</v>
      </c>
      <c r="P803" t="str">
        <f>IF(Table1[[#This Row],[Delivery Delay]]&gt;0,"Late","On Time")</f>
        <v>On Time</v>
      </c>
      <c r="Q803">
        <v>45.477126087153891</v>
      </c>
      <c r="R803">
        <v>0.1615115172181541</v>
      </c>
      <c r="S803">
        <v>2.4432307111529883E-3</v>
      </c>
      <c r="T803">
        <v>0.8</v>
      </c>
      <c r="U803">
        <v>1</v>
      </c>
      <c r="V803">
        <v>47.303527265697667</v>
      </c>
    </row>
    <row r="804" spans="1:22" x14ac:dyDescent="0.35">
      <c r="A804" t="s">
        <v>106</v>
      </c>
      <c r="B804" t="s">
        <v>8</v>
      </c>
      <c r="C804" t="s">
        <v>9</v>
      </c>
      <c r="D804">
        <v>0.62</v>
      </c>
      <c r="E804" t="s">
        <v>37</v>
      </c>
      <c r="F804" t="s">
        <v>34</v>
      </c>
      <c r="G804">
        <v>1</v>
      </c>
      <c r="H804">
        <v>157.31439999999901</v>
      </c>
      <c r="I804" t="s">
        <v>45</v>
      </c>
      <c r="J804" s="1">
        <v>44401</v>
      </c>
      <c r="K804">
        <v>63.864206918313798</v>
      </c>
      <c r="L804" s="1">
        <v>44414</v>
      </c>
      <c r="M804" s="1">
        <v>44413</v>
      </c>
      <c r="N804">
        <v>702.50627610145204</v>
      </c>
      <c r="O804">
        <v>-1</v>
      </c>
      <c r="P804" t="str">
        <f>IF(Table1[[#This Row],[Delivery Delay]]&gt;0,"Late","On Time")</f>
        <v>On Time</v>
      </c>
      <c r="Q804">
        <v>63.864206918313819</v>
      </c>
      <c r="R804">
        <v>0.29512992032033769</v>
      </c>
      <c r="S804">
        <v>1.4234748272278575E-3</v>
      </c>
      <c r="T804">
        <v>0.62</v>
      </c>
      <c r="U804">
        <v>0</v>
      </c>
      <c r="V804">
        <v>24.545302651223587</v>
      </c>
    </row>
    <row r="805" spans="1:22" x14ac:dyDescent="0.35">
      <c r="A805" t="s">
        <v>108</v>
      </c>
      <c r="B805" t="s">
        <v>4</v>
      </c>
      <c r="C805" t="s">
        <v>9</v>
      </c>
      <c r="D805">
        <v>0.66</v>
      </c>
      <c r="E805" t="s">
        <v>38</v>
      </c>
      <c r="F805" t="s">
        <v>39</v>
      </c>
      <c r="G805">
        <v>0</v>
      </c>
      <c r="H805">
        <v>275.599999999999</v>
      </c>
      <c r="I805" t="s">
        <v>50</v>
      </c>
      <c r="J805" s="1">
        <v>44312</v>
      </c>
      <c r="K805">
        <v>14.7547223512609</v>
      </c>
      <c r="L805" s="1">
        <v>44334</v>
      </c>
      <c r="M805" s="1">
        <v>44338</v>
      </c>
      <c r="N805">
        <v>177.056668215131</v>
      </c>
      <c r="O805">
        <v>4</v>
      </c>
      <c r="P805" t="str">
        <f>IF(Table1[[#This Row],[Delivery Delay]]&gt;0,"Late","On Time")</f>
        <v>Late</v>
      </c>
      <c r="Q805">
        <v>14.754722351260916</v>
      </c>
      <c r="R805">
        <v>0.29757277360283246</v>
      </c>
      <c r="S805">
        <v>5.6479092828345765E-3</v>
      </c>
      <c r="T805">
        <v>0.66</v>
      </c>
      <c r="U805">
        <v>1</v>
      </c>
      <c r="V805">
        <v>45.92089275054169</v>
      </c>
    </row>
    <row r="806" spans="1:22" x14ac:dyDescent="0.35">
      <c r="A806" t="s">
        <v>103</v>
      </c>
      <c r="B806" t="s">
        <v>10</v>
      </c>
      <c r="C806" t="s">
        <v>9</v>
      </c>
      <c r="D806">
        <v>0.89</v>
      </c>
      <c r="E806" t="s">
        <v>35</v>
      </c>
      <c r="F806" t="s">
        <v>34</v>
      </c>
      <c r="G806">
        <v>1</v>
      </c>
      <c r="H806">
        <v>597.90249999999901</v>
      </c>
      <c r="I806" t="s">
        <v>49</v>
      </c>
      <c r="J806" s="1">
        <v>44488</v>
      </c>
      <c r="K806">
        <v>71.751490624731304</v>
      </c>
      <c r="L806" s="1">
        <v>44499</v>
      </c>
      <c r="M806" s="1">
        <v>44499</v>
      </c>
      <c r="N806">
        <v>717.51490624731298</v>
      </c>
      <c r="O806">
        <v>0</v>
      </c>
      <c r="P806" t="str">
        <f>IF(Table1[[#This Row],[Delivery Delay]]&gt;0,"Late","On Time")</f>
        <v>On Time</v>
      </c>
      <c r="Q806">
        <v>71.751490624731304</v>
      </c>
      <c r="R806">
        <v>0.43456874919368105</v>
      </c>
      <c r="S806">
        <v>1.3936992685352242E-3</v>
      </c>
      <c r="T806">
        <v>0.89</v>
      </c>
      <c r="U806">
        <v>0</v>
      </c>
      <c r="V806">
        <v>35.433185961929681</v>
      </c>
    </row>
    <row r="807" spans="1:22" x14ac:dyDescent="0.35">
      <c r="A807" t="s">
        <v>104</v>
      </c>
      <c r="B807" t="s">
        <v>4</v>
      </c>
      <c r="C807" t="s">
        <v>11</v>
      </c>
      <c r="D807">
        <v>0.63</v>
      </c>
      <c r="E807" t="s">
        <v>36</v>
      </c>
      <c r="F807" t="s">
        <v>34</v>
      </c>
      <c r="G807">
        <v>1</v>
      </c>
      <c r="H807">
        <v>377.82</v>
      </c>
      <c r="I807" t="s">
        <v>45</v>
      </c>
      <c r="J807" s="1">
        <v>44417</v>
      </c>
      <c r="K807">
        <v>57.171095724325397</v>
      </c>
      <c r="L807" s="1">
        <v>44430</v>
      </c>
      <c r="M807" s="1">
        <v>44431</v>
      </c>
      <c r="N807">
        <v>457.36876579460301</v>
      </c>
      <c r="O807">
        <v>1</v>
      </c>
      <c r="P807" t="str">
        <f>IF(Table1[[#This Row],[Delivery Delay]]&gt;0,"Late","On Time")</f>
        <v>Late</v>
      </c>
      <c r="Q807">
        <v>57.171095724325376</v>
      </c>
      <c r="R807">
        <v>0.36109412034559218</v>
      </c>
      <c r="S807">
        <v>2.1864195257467233E-3</v>
      </c>
      <c r="T807">
        <v>0.63</v>
      </c>
      <c r="U807">
        <v>0</v>
      </c>
      <c r="V807">
        <v>26.187474992684244</v>
      </c>
    </row>
    <row r="808" spans="1:22" x14ac:dyDescent="0.35">
      <c r="A808" t="s">
        <v>105</v>
      </c>
      <c r="B808" t="s">
        <v>6</v>
      </c>
      <c r="C808" t="s">
        <v>11</v>
      </c>
      <c r="D808">
        <v>0.84</v>
      </c>
      <c r="E808" t="s">
        <v>36</v>
      </c>
      <c r="F808" t="s">
        <v>34</v>
      </c>
      <c r="G808">
        <v>1</v>
      </c>
      <c r="H808">
        <v>361.38999999999902</v>
      </c>
      <c r="I808" t="s">
        <v>45</v>
      </c>
      <c r="J808" s="1">
        <v>45047</v>
      </c>
      <c r="K808">
        <v>61.923694923069903</v>
      </c>
      <c r="L808" s="1">
        <v>45069</v>
      </c>
      <c r="M808" s="1">
        <v>45070</v>
      </c>
      <c r="N808">
        <v>371.54216953841899</v>
      </c>
      <c r="O808">
        <v>1</v>
      </c>
      <c r="P808" t="str">
        <f>IF(Table1[[#This Row],[Delivery Delay]]&gt;0,"Late","On Time")</f>
        <v>Late</v>
      </c>
      <c r="Q808">
        <v>61.923694923069831</v>
      </c>
      <c r="R808">
        <v>0.31759102213707779</v>
      </c>
      <c r="S808">
        <v>2.6914845258139558E-3</v>
      </c>
      <c r="T808">
        <v>0.84</v>
      </c>
      <c r="U808">
        <v>0</v>
      </c>
      <c r="V808">
        <v>31.632564978515976</v>
      </c>
    </row>
    <row r="809" spans="1:22" x14ac:dyDescent="0.35">
      <c r="A809" t="s">
        <v>106</v>
      </c>
      <c r="B809" t="s">
        <v>4</v>
      </c>
      <c r="C809" t="s">
        <v>9</v>
      </c>
      <c r="D809">
        <v>0.7</v>
      </c>
      <c r="E809" t="s">
        <v>38</v>
      </c>
      <c r="F809" t="s">
        <v>34</v>
      </c>
      <c r="G809">
        <v>1</v>
      </c>
      <c r="H809">
        <v>162.864</v>
      </c>
      <c r="I809" t="s">
        <v>50</v>
      </c>
      <c r="J809" s="1">
        <v>44727</v>
      </c>
      <c r="K809">
        <v>15.367791435911</v>
      </c>
      <c r="L809" s="1">
        <v>44747</v>
      </c>
      <c r="M809" s="1">
        <v>44753</v>
      </c>
      <c r="N809">
        <v>169.04570579502101</v>
      </c>
      <c r="O809">
        <v>6</v>
      </c>
      <c r="P809" t="str">
        <f>IF(Table1[[#This Row],[Delivery Delay]]&gt;0,"Late","On Time")</f>
        <v>Late</v>
      </c>
      <c r="Q809">
        <v>15.367791435911</v>
      </c>
      <c r="R809">
        <v>0.89513256826276222</v>
      </c>
      <c r="S809">
        <v>5.9155599090613131E-3</v>
      </c>
      <c r="T809">
        <v>0.7</v>
      </c>
      <c r="U809">
        <v>0</v>
      </c>
      <c r="V809">
        <v>39.080118162527086</v>
      </c>
    </row>
    <row r="810" spans="1:22" x14ac:dyDescent="0.35">
      <c r="A810" t="s">
        <v>108</v>
      </c>
      <c r="B810" t="s">
        <v>6</v>
      </c>
      <c r="C810" t="s">
        <v>9</v>
      </c>
      <c r="D810">
        <v>0.75</v>
      </c>
      <c r="E810" t="s">
        <v>36</v>
      </c>
      <c r="F810" t="s">
        <v>39</v>
      </c>
      <c r="G810">
        <v>0</v>
      </c>
      <c r="H810">
        <v>127.58499999999999</v>
      </c>
      <c r="I810" t="s">
        <v>46</v>
      </c>
      <c r="J810" s="1">
        <v>44682</v>
      </c>
      <c r="K810">
        <v>71.562130990147494</v>
      </c>
      <c r="L810" s="1">
        <v>44697</v>
      </c>
      <c r="M810" s="1">
        <v>44699</v>
      </c>
      <c r="N810">
        <v>1073.4319648522101</v>
      </c>
      <c r="O810">
        <v>2</v>
      </c>
      <c r="P810" t="str">
        <f>IF(Table1[[#This Row],[Delivery Delay]]&gt;0,"Late","On Time")</f>
        <v>Late</v>
      </c>
      <c r="Q810">
        <v>71.562130990147338</v>
      </c>
      <c r="R810">
        <v>0.26722449706248885</v>
      </c>
      <c r="S810">
        <v>9.3159141216525988E-4</v>
      </c>
      <c r="T810">
        <v>0.75</v>
      </c>
      <c r="U810">
        <v>1</v>
      </c>
      <c r="V810">
        <v>47.872437683614741</v>
      </c>
    </row>
    <row r="811" spans="1:22" x14ac:dyDescent="0.35">
      <c r="A811" t="s">
        <v>107</v>
      </c>
      <c r="B811" t="s">
        <v>12</v>
      </c>
      <c r="C811" t="s">
        <v>9</v>
      </c>
      <c r="D811">
        <v>0.71</v>
      </c>
      <c r="E811" t="s">
        <v>36</v>
      </c>
      <c r="F811" t="s">
        <v>34</v>
      </c>
      <c r="G811">
        <v>1</v>
      </c>
      <c r="H811">
        <v>39.946199999999898</v>
      </c>
      <c r="I811" t="s">
        <v>49</v>
      </c>
      <c r="J811" s="1">
        <v>45280</v>
      </c>
      <c r="K811">
        <v>36.234753789012103</v>
      </c>
      <c r="L811" s="1">
        <v>45301</v>
      </c>
      <c r="M811" s="1">
        <v>45307</v>
      </c>
      <c r="N811">
        <v>217.40852273407299</v>
      </c>
      <c r="O811">
        <v>6</v>
      </c>
      <c r="P811" t="str">
        <f>IF(Table1[[#This Row],[Delivery Delay]]&gt;0,"Late","On Time")</f>
        <v>Late</v>
      </c>
      <c r="Q811">
        <v>36.234753789012167</v>
      </c>
      <c r="R811">
        <v>6.6265969627226182E-2</v>
      </c>
      <c r="S811">
        <v>4.5996356878022088E-3</v>
      </c>
      <c r="T811">
        <v>0.71</v>
      </c>
      <c r="U811">
        <v>0</v>
      </c>
      <c r="V811">
        <v>22.763308463178593</v>
      </c>
    </row>
    <row r="812" spans="1:22" x14ac:dyDescent="0.35">
      <c r="A812" t="s">
        <v>100</v>
      </c>
      <c r="B812" t="s">
        <v>13</v>
      </c>
      <c r="C812" t="s">
        <v>11</v>
      </c>
      <c r="D812">
        <v>0.74</v>
      </c>
      <c r="E812" t="s">
        <v>36</v>
      </c>
      <c r="F812" t="s">
        <v>34</v>
      </c>
      <c r="G812">
        <v>1</v>
      </c>
      <c r="H812">
        <v>495.861999999999</v>
      </c>
      <c r="I812" t="s">
        <v>50</v>
      </c>
      <c r="J812" s="1">
        <v>44845</v>
      </c>
      <c r="K812">
        <v>22.3611471363322</v>
      </c>
      <c r="L812" s="1">
        <v>44867</v>
      </c>
      <c r="M812" s="1">
        <v>44869</v>
      </c>
      <c r="N812">
        <v>313.05605990865098</v>
      </c>
      <c r="O812">
        <v>2</v>
      </c>
      <c r="P812" t="str">
        <f>IF(Table1[[#This Row],[Delivery Delay]]&gt;0,"Late","On Time")</f>
        <v>Late</v>
      </c>
      <c r="Q812">
        <v>22.361147136332214</v>
      </c>
      <c r="R812">
        <v>0.74890955004591342</v>
      </c>
      <c r="S812">
        <v>3.1943160604902448E-3</v>
      </c>
      <c r="T812">
        <v>0.74</v>
      </c>
      <c r="U812">
        <v>0</v>
      </c>
      <c r="V812">
        <v>37.274020482732979</v>
      </c>
    </row>
    <row r="813" spans="1:22" x14ac:dyDescent="0.35">
      <c r="A813" t="s">
        <v>101</v>
      </c>
      <c r="B813" t="s">
        <v>6</v>
      </c>
      <c r="C813" t="s">
        <v>11</v>
      </c>
      <c r="D813">
        <v>0.88</v>
      </c>
      <c r="E813" t="s">
        <v>37</v>
      </c>
      <c r="F813" t="s">
        <v>34</v>
      </c>
      <c r="G813">
        <v>1</v>
      </c>
      <c r="H813">
        <v>26.941600000000001</v>
      </c>
      <c r="I813" t="s">
        <v>49</v>
      </c>
      <c r="J813" s="1">
        <v>44497</v>
      </c>
      <c r="K813">
        <v>64.184071292115306</v>
      </c>
      <c r="L813" s="1">
        <v>44520</v>
      </c>
      <c r="M813" s="1">
        <v>44517</v>
      </c>
      <c r="N813">
        <v>641.840712921153</v>
      </c>
      <c r="O813">
        <v>-3</v>
      </c>
      <c r="P813" t="str">
        <f>IF(Table1[[#This Row],[Delivery Delay]]&gt;0,"Late","On Time")</f>
        <v>On Time</v>
      </c>
      <c r="Q813">
        <v>64.184071292115306</v>
      </c>
      <c r="R813">
        <v>0.19186222062702604</v>
      </c>
      <c r="S813">
        <v>1.5580189599515872E-3</v>
      </c>
      <c r="T813">
        <v>0.88</v>
      </c>
      <c r="U813">
        <v>0</v>
      </c>
      <c r="V813">
        <v>30.283984981339067</v>
      </c>
    </row>
    <row r="814" spans="1:22" x14ac:dyDescent="0.35">
      <c r="A814" t="s">
        <v>102</v>
      </c>
      <c r="B814" t="s">
        <v>6</v>
      </c>
      <c r="C814" t="s">
        <v>9</v>
      </c>
      <c r="D814">
        <v>0.72</v>
      </c>
      <c r="E814" t="s">
        <v>38</v>
      </c>
      <c r="F814" t="s">
        <v>39</v>
      </c>
      <c r="G814">
        <v>0</v>
      </c>
      <c r="H814">
        <v>217.20159999999899</v>
      </c>
      <c r="I814" t="s">
        <v>49</v>
      </c>
      <c r="J814" s="1">
        <v>44866</v>
      </c>
      <c r="K814">
        <v>13.1970369878872</v>
      </c>
      <c r="L814" s="1">
        <v>44876</v>
      </c>
      <c r="M814" s="1">
        <v>44878</v>
      </c>
      <c r="N814">
        <v>171.561480842534</v>
      </c>
      <c r="O814">
        <v>2</v>
      </c>
      <c r="P814" t="str">
        <f>IF(Table1[[#This Row],[Delivery Delay]]&gt;0,"Late","On Time")</f>
        <v>Late</v>
      </c>
      <c r="Q814">
        <v>13.19703698788723</v>
      </c>
      <c r="R814">
        <v>0.43850621495206143</v>
      </c>
      <c r="S814">
        <v>5.8288142250173284E-3</v>
      </c>
      <c r="T814">
        <v>0.72</v>
      </c>
      <c r="U814">
        <v>1</v>
      </c>
      <c r="V814">
        <v>50.544988725791754</v>
      </c>
    </row>
    <row r="815" spans="1:22" x14ac:dyDescent="0.35">
      <c r="A815" t="s">
        <v>99</v>
      </c>
      <c r="B815" t="s">
        <v>14</v>
      </c>
      <c r="C815" t="s">
        <v>5</v>
      </c>
      <c r="D815">
        <v>0.82</v>
      </c>
      <c r="E815" t="s">
        <v>35</v>
      </c>
      <c r="F815" t="s">
        <v>34</v>
      </c>
      <c r="G815">
        <v>1</v>
      </c>
      <c r="H815">
        <v>449.04880000000003</v>
      </c>
      <c r="I815" t="s">
        <v>45</v>
      </c>
      <c r="J815" s="1">
        <v>44679</v>
      </c>
      <c r="K815">
        <v>63.935522596388402</v>
      </c>
      <c r="L815" s="1">
        <v>44700</v>
      </c>
      <c r="M815" s="1">
        <v>44704</v>
      </c>
      <c r="N815">
        <v>703.29074856027296</v>
      </c>
      <c r="O815">
        <v>4</v>
      </c>
      <c r="P815" t="str">
        <f>IF(Table1[[#This Row],[Delivery Delay]]&gt;0,"Late","On Time")</f>
        <v>Late</v>
      </c>
      <c r="Q815">
        <v>63.935522596388452</v>
      </c>
      <c r="R815">
        <v>0.60563696373910114</v>
      </c>
      <c r="S815">
        <v>1.4218870389623769E-3</v>
      </c>
      <c r="T815">
        <v>0.82</v>
      </c>
      <c r="U815">
        <v>0</v>
      </c>
      <c r="V815">
        <v>36.75539588595089</v>
      </c>
    </row>
    <row r="816" spans="1:22" x14ac:dyDescent="0.35">
      <c r="A816" t="s">
        <v>103</v>
      </c>
      <c r="B816" t="s">
        <v>6</v>
      </c>
      <c r="C816" t="s">
        <v>7</v>
      </c>
      <c r="D816">
        <v>0.79</v>
      </c>
      <c r="E816" t="s">
        <v>37</v>
      </c>
      <c r="F816" t="s">
        <v>34</v>
      </c>
      <c r="G816">
        <v>1</v>
      </c>
      <c r="H816">
        <v>2.4249999999999798</v>
      </c>
      <c r="I816" t="s">
        <v>47</v>
      </c>
      <c r="J816" s="1">
        <v>45025</v>
      </c>
      <c r="K816">
        <v>14.0172127870939</v>
      </c>
      <c r="L816" s="1">
        <v>45041</v>
      </c>
      <c r="M816" s="1">
        <v>45040</v>
      </c>
      <c r="N816">
        <v>112.137702296751</v>
      </c>
      <c r="O816">
        <v>-1</v>
      </c>
      <c r="P816" t="str">
        <f>IF(Table1[[#This Row],[Delivery Delay]]&gt;0,"Late","On Time")</f>
        <v>On Time</v>
      </c>
      <c r="Q816">
        <v>14.017212787093875</v>
      </c>
      <c r="R816">
        <v>1.35078679849602E-2</v>
      </c>
      <c r="S816">
        <v>8.9176073659302472E-3</v>
      </c>
      <c r="T816">
        <v>0.79</v>
      </c>
      <c r="U816">
        <v>0</v>
      </c>
      <c r="V816">
        <v>24.237685580677113</v>
      </c>
    </row>
    <row r="817" spans="1:22" x14ac:dyDescent="0.35">
      <c r="A817" t="s">
        <v>104</v>
      </c>
      <c r="B817" t="s">
        <v>6</v>
      </c>
      <c r="C817" t="s">
        <v>11</v>
      </c>
      <c r="D817">
        <v>0.86</v>
      </c>
      <c r="E817" t="s">
        <v>38</v>
      </c>
      <c r="F817" t="s">
        <v>39</v>
      </c>
      <c r="G817">
        <v>0</v>
      </c>
      <c r="H817">
        <v>49.001599999999897</v>
      </c>
      <c r="I817" t="s">
        <v>49</v>
      </c>
      <c r="J817" s="1">
        <v>45028</v>
      </c>
      <c r="K817">
        <v>6.3039926307939602</v>
      </c>
      <c r="L817" s="1">
        <v>45049</v>
      </c>
      <c r="M817" s="1">
        <v>45049</v>
      </c>
      <c r="N817">
        <v>69.343918938733495</v>
      </c>
      <c r="O817">
        <v>0</v>
      </c>
      <c r="P817" t="str">
        <f>IF(Table1[[#This Row],[Delivery Delay]]&gt;0,"Late","On Time")</f>
        <v>On Time</v>
      </c>
      <c r="Q817">
        <v>6.303992630793954</v>
      </c>
      <c r="R817">
        <v>0.13416950147526843</v>
      </c>
      <c r="S817">
        <v>1.4420875187102082E-2</v>
      </c>
      <c r="T817">
        <v>0.86</v>
      </c>
      <c r="U817">
        <v>1</v>
      </c>
      <c r="V817">
        <v>48.916016285118431</v>
      </c>
    </row>
    <row r="818" spans="1:22" x14ac:dyDescent="0.35">
      <c r="A818" t="s">
        <v>105</v>
      </c>
      <c r="B818" t="s">
        <v>8</v>
      </c>
      <c r="C818" t="s">
        <v>11</v>
      </c>
      <c r="D818">
        <v>0.97</v>
      </c>
      <c r="E818" t="s">
        <v>38</v>
      </c>
      <c r="F818" t="s">
        <v>34</v>
      </c>
      <c r="G818">
        <v>1</v>
      </c>
      <c r="H818">
        <v>53.842399999999998</v>
      </c>
      <c r="I818" t="s">
        <v>48</v>
      </c>
      <c r="J818" s="1">
        <v>44535</v>
      </c>
      <c r="K818">
        <v>56.336485870664397</v>
      </c>
      <c r="L818" s="1">
        <v>44548</v>
      </c>
      <c r="M818" s="1">
        <v>44551</v>
      </c>
      <c r="N818">
        <v>619.70134457730899</v>
      </c>
      <c r="O818">
        <v>3</v>
      </c>
      <c r="P818" t="str">
        <f>IF(Table1[[#This Row],[Delivery Delay]]&gt;0,"Late","On Time")</f>
        <v>Late</v>
      </c>
      <c r="Q818">
        <v>56.336485870664454</v>
      </c>
      <c r="R818">
        <v>3.4868353225023484E-2</v>
      </c>
      <c r="S818">
        <v>1.6136805394251455E-3</v>
      </c>
      <c r="T818">
        <v>0.97</v>
      </c>
      <c r="U818">
        <v>0</v>
      </c>
      <c r="V818">
        <v>29.845777480683221</v>
      </c>
    </row>
    <row r="819" spans="1:22" x14ac:dyDescent="0.35">
      <c r="A819" t="s">
        <v>106</v>
      </c>
      <c r="B819" t="s">
        <v>13</v>
      </c>
      <c r="C819" t="s">
        <v>5</v>
      </c>
      <c r="D819">
        <v>0.89</v>
      </c>
      <c r="E819" t="s">
        <v>38</v>
      </c>
      <c r="F819" t="s">
        <v>34</v>
      </c>
      <c r="G819">
        <v>1</v>
      </c>
      <c r="H819">
        <v>169.3374</v>
      </c>
      <c r="I819" t="s">
        <v>45</v>
      </c>
      <c r="J819" s="1">
        <v>45180</v>
      </c>
      <c r="K819">
        <v>30.976245500883401</v>
      </c>
      <c r="L819" s="1">
        <v>45191</v>
      </c>
      <c r="M819" s="1">
        <v>45190</v>
      </c>
      <c r="N819">
        <v>433.66743701236697</v>
      </c>
      <c r="O819">
        <v>-1</v>
      </c>
      <c r="P819" t="str">
        <f>IF(Table1[[#This Row],[Delivery Delay]]&gt;0,"Late","On Time")</f>
        <v>On Time</v>
      </c>
      <c r="Q819">
        <v>30.976245500883355</v>
      </c>
      <c r="R819">
        <v>0.45985931901539606</v>
      </c>
      <c r="S819">
        <v>2.3059144280908571E-3</v>
      </c>
      <c r="T819">
        <v>0.89</v>
      </c>
      <c r="U819">
        <v>0</v>
      </c>
      <c r="V819">
        <v>35.96636381315065</v>
      </c>
    </row>
    <row r="820" spans="1:22" x14ac:dyDescent="0.35">
      <c r="A820" t="s">
        <v>108</v>
      </c>
      <c r="B820" t="s">
        <v>12</v>
      </c>
      <c r="C820" t="s">
        <v>5</v>
      </c>
      <c r="D820">
        <v>0.68</v>
      </c>
      <c r="E820" t="s">
        <v>35</v>
      </c>
      <c r="F820" t="s">
        <v>34</v>
      </c>
      <c r="G820">
        <v>1</v>
      </c>
      <c r="H820">
        <v>281.8528</v>
      </c>
      <c r="I820" t="s">
        <v>46</v>
      </c>
      <c r="J820" s="1">
        <v>44442</v>
      </c>
      <c r="K820">
        <v>66.863388685687198</v>
      </c>
      <c r="L820" s="1">
        <v>44464</v>
      </c>
      <c r="M820" s="1">
        <v>44464</v>
      </c>
      <c r="N820">
        <v>802.36066422824695</v>
      </c>
      <c r="O820">
        <v>0</v>
      </c>
      <c r="P820" t="str">
        <f>IF(Table1[[#This Row],[Delivery Delay]]&gt;0,"Late","On Time")</f>
        <v>On Time</v>
      </c>
      <c r="Q820">
        <v>66.863388685687241</v>
      </c>
      <c r="R820">
        <v>0.2423054491835028</v>
      </c>
      <c r="S820">
        <v>1.2463223143695024E-3</v>
      </c>
      <c r="T820">
        <v>0.68</v>
      </c>
      <c r="U820">
        <v>0</v>
      </c>
      <c r="V820">
        <v>25.283498653101145</v>
      </c>
    </row>
    <row r="821" spans="1:22" x14ac:dyDescent="0.35">
      <c r="A821" t="s">
        <v>102</v>
      </c>
      <c r="B821" t="s">
        <v>10</v>
      </c>
      <c r="C821" t="s">
        <v>9</v>
      </c>
      <c r="D821">
        <v>0.61</v>
      </c>
      <c r="E821" t="s">
        <v>37</v>
      </c>
      <c r="F821" t="s">
        <v>34</v>
      </c>
      <c r="G821">
        <v>1</v>
      </c>
      <c r="H821">
        <v>364.211199999999</v>
      </c>
      <c r="I821" t="s">
        <v>47</v>
      </c>
      <c r="J821" s="1">
        <v>44737</v>
      </c>
      <c r="K821">
        <v>67.190221519655296</v>
      </c>
      <c r="L821" s="1">
        <v>44750</v>
      </c>
      <c r="M821" s="1">
        <v>44753</v>
      </c>
      <c r="N821">
        <v>739.092436716208</v>
      </c>
      <c r="O821">
        <v>3</v>
      </c>
      <c r="P821" t="str">
        <f>IF(Table1[[#This Row],[Delivery Delay]]&gt;0,"Late","On Time")</f>
        <v>Late</v>
      </c>
      <c r="Q821">
        <v>67.190221519655267</v>
      </c>
      <c r="R821">
        <v>0.19721511793122992</v>
      </c>
      <c r="S821">
        <v>1.3530107336005301E-3</v>
      </c>
      <c r="T821">
        <v>0.61</v>
      </c>
      <c r="U821">
        <v>0</v>
      </c>
      <c r="V821">
        <v>22.284892680632616</v>
      </c>
    </row>
    <row r="822" spans="1:22" x14ac:dyDescent="0.35">
      <c r="A822" t="s">
        <v>99</v>
      </c>
      <c r="B822" t="s">
        <v>14</v>
      </c>
      <c r="C822" t="s">
        <v>9</v>
      </c>
      <c r="D822">
        <v>0.7</v>
      </c>
      <c r="E822" t="s">
        <v>36</v>
      </c>
      <c r="F822" t="s">
        <v>34</v>
      </c>
      <c r="G822">
        <v>1</v>
      </c>
      <c r="H822">
        <v>543.57279999999901</v>
      </c>
      <c r="I822" t="s">
        <v>48</v>
      </c>
      <c r="J822" s="1">
        <v>44938</v>
      </c>
      <c r="K822">
        <v>17.664915219210801</v>
      </c>
      <c r="L822" s="1">
        <v>44955</v>
      </c>
      <c r="M822" s="1">
        <v>44953</v>
      </c>
      <c r="N822">
        <v>158.98423697289701</v>
      </c>
      <c r="O822">
        <v>-2</v>
      </c>
      <c r="P822" t="str">
        <f>IF(Table1[[#This Row],[Delivery Delay]]&gt;0,"Late","On Time")</f>
        <v>On Time</v>
      </c>
      <c r="Q822">
        <v>17.66491521921078</v>
      </c>
      <c r="R822">
        <v>0.6679662923115629</v>
      </c>
      <c r="S822">
        <v>6.2899317507211479E-3</v>
      </c>
      <c r="T822">
        <v>0.7</v>
      </c>
      <c r="U822">
        <v>0</v>
      </c>
      <c r="V822">
        <v>34.548023798752894</v>
      </c>
    </row>
    <row r="823" spans="1:22" x14ac:dyDescent="0.35">
      <c r="A823" t="s">
        <v>103</v>
      </c>
      <c r="B823" t="s">
        <v>8</v>
      </c>
      <c r="C823" t="s">
        <v>7</v>
      </c>
      <c r="D823">
        <v>0.83</v>
      </c>
      <c r="E823" t="s">
        <v>38</v>
      </c>
      <c r="F823" t="s">
        <v>34</v>
      </c>
      <c r="G823">
        <v>1</v>
      </c>
      <c r="H823">
        <v>11.349</v>
      </c>
      <c r="I823" t="s">
        <v>48</v>
      </c>
      <c r="J823" s="1">
        <v>44972</v>
      </c>
      <c r="K823">
        <v>18.928856108000801</v>
      </c>
      <c r="L823" s="1">
        <v>44996</v>
      </c>
      <c r="M823" s="1">
        <v>44999</v>
      </c>
      <c r="N823">
        <v>132.501992756005</v>
      </c>
      <c r="O823">
        <v>3</v>
      </c>
      <c r="P823" t="str">
        <f>IF(Table1[[#This Row],[Delivery Delay]]&gt;0,"Late","On Time")</f>
        <v>Late</v>
      </c>
      <c r="Q823">
        <v>18.928856108000712</v>
      </c>
      <c r="R823">
        <v>1.5240328253223917E-2</v>
      </c>
      <c r="S823">
        <v>7.547056306099819E-3</v>
      </c>
      <c r="T823">
        <v>0.83</v>
      </c>
      <c r="U823">
        <v>0</v>
      </c>
      <c r="V823">
        <v>25.431218254247472</v>
      </c>
    </row>
    <row r="824" spans="1:22" x14ac:dyDescent="0.35">
      <c r="A824" t="s">
        <v>104</v>
      </c>
      <c r="B824" t="s">
        <v>15</v>
      </c>
      <c r="C824" t="s">
        <v>7</v>
      </c>
      <c r="D824">
        <v>0.62</v>
      </c>
      <c r="E824" t="s">
        <v>36</v>
      </c>
      <c r="F824" t="s">
        <v>34</v>
      </c>
      <c r="G824">
        <v>1</v>
      </c>
      <c r="H824">
        <v>-29.634999999999899</v>
      </c>
      <c r="I824" t="s">
        <v>46</v>
      </c>
      <c r="J824" s="1">
        <v>44772</v>
      </c>
      <c r="K824">
        <v>37.823956834444999</v>
      </c>
      <c r="L824" s="1">
        <v>44786</v>
      </c>
      <c r="M824" s="1">
        <v>44790</v>
      </c>
      <c r="N824">
        <v>378.23956834444999</v>
      </c>
      <c r="O824">
        <v>4</v>
      </c>
      <c r="P824" t="str">
        <f>IF(Table1[[#This Row],[Delivery Delay]]&gt;0,"Late","On Time")</f>
        <v>Late</v>
      </c>
      <c r="Q824">
        <v>37.823956834444999</v>
      </c>
      <c r="R824">
        <v>0</v>
      </c>
      <c r="S824">
        <v>2.6438270442645331E-3</v>
      </c>
      <c r="T824">
        <v>0.62</v>
      </c>
      <c r="U824">
        <v>0</v>
      </c>
      <c r="V824">
        <v>18.679314811327934</v>
      </c>
    </row>
    <row r="825" spans="1:22" x14ac:dyDescent="0.35">
      <c r="A825" t="s">
        <v>105</v>
      </c>
      <c r="B825" t="s">
        <v>13</v>
      </c>
      <c r="C825" t="s">
        <v>9</v>
      </c>
      <c r="D825">
        <v>0.79</v>
      </c>
      <c r="E825" t="s">
        <v>35</v>
      </c>
      <c r="F825" t="s">
        <v>39</v>
      </c>
      <c r="G825">
        <v>0</v>
      </c>
      <c r="H825">
        <v>72.273600000000002</v>
      </c>
      <c r="I825" t="s">
        <v>47</v>
      </c>
      <c r="J825" s="1">
        <v>44585</v>
      </c>
      <c r="K825">
        <v>5.0641854487268896</v>
      </c>
      <c r="L825" s="1">
        <v>44595</v>
      </c>
      <c r="M825" s="1">
        <v>44599</v>
      </c>
      <c r="N825">
        <v>35.4492981410882</v>
      </c>
      <c r="O825">
        <v>4</v>
      </c>
      <c r="P825" t="str">
        <f>IF(Table1[[#This Row],[Delivery Delay]]&gt;0,"Late","On Time")</f>
        <v>Late</v>
      </c>
      <c r="Q825">
        <v>5.064185448726886</v>
      </c>
      <c r="R825">
        <v>0.34171333253902059</v>
      </c>
      <c r="S825">
        <v>2.8209303214410626E-2</v>
      </c>
      <c r="T825">
        <v>0.79</v>
      </c>
      <c r="U825">
        <v>1</v>
      </c>
      <c r="V825">
        <v>51.380545747212736</v>
      </c>
    </row>
    <row r="826" spans="1:22" x14ac:dyDescent="0.35">
      <c r="A826" t="s">
        <v>106</v>
      </c>
      <c r="B826" t="s">
        <v>12</v>
      </c>
      <c r="C826" t="s">
        <v>9</v>
      </c>
      <c r="D826">
        <v>0.83</v>
      </c>
      <c r="E826" t="s">
        <v>36</v>
      </c>
      <c r="F826" t="s">
        <v>39</v>
      </c>
      <c r="G826">
        <v>0</v>
      </c>
      <c r="H826">
        <v>107.26519999999999</v>
      </c>
      <c r="I826" t="s">
        <v>45</v>
      </c>
      <c r="J826" s="1">
        <v>44371</v>
      </c>
      <c r="K826">
        <v>39.2270759290355</v>
      </c>
      <c r="L826" s="1">
        <v>44388</v>
      </c>
      <c r="M826" s="1">
        <v>44388</v>
      </c>
      <c r="N826">
        <v>196.13537964517701</v>
      </c>
      <c r="O826">
        <v>0</v>
      </c>
      <c r="P826" t="str">
        <f>IF(Table1[[#This Row],[Delivery Delay]]&gt;0,"Late","On Time")</f>
        <v>On Time</v>
      </c>
      <c r="Q826">
        <v>39.227075929035401</v>
      </c>
      <c r="R826">
        <v>0.29603041519523371</v>
      </c>
      <c r="S826">
        <v>5.0985192055052579E-3</v>
      </c>
      <c r="T826">
        <v>0.83</v>
      </c>
      <c r="U826">
        <v>1</v>
      </c>
      <c r="V826">
        <v>50.973563880069825</v>
      </c>
    </row>
    <row r="827" spans="1:22" x14ac:dyDescent="0.35">
      <c r="A827" t="s">
        <v>108</v>
      </c>
      <c r="B827" t="s">
        <v>12</v>
      </c>
      <c r="C827" t="s">
        <v>11</v>
      </c>
      <c r="D827">
        <v>0.73</v>
      </c>
      <c r="E827" t="s">
        <v>38</v>
      </c>
      <c r="F827" t="s">
        <v>39</v>
      </c>
      <c r="G827">
        <v>0</v>
      </c>
      <c r="H827">
        <v>132.78299999999899</v>
      </c>
      <c r="I827" t="s">
        <v>51</v>
      </c>
      <c r="J827" s="1">
        <v>44971</v>
      </c>
      <c r="K827">
        <v>50.5384348480762</v>
      </c>
      <c r="L827" s="1">
        <v>44992</v>
      </c>
      <c r="M827" s="1">
        <v>44994</v>
      </c>
      <c r="N827">
        <v>758.07652272114399</v>
      </c>
      <c r="O827">
        <v>2</v>
      </c>
      <c r="P827" t="str">
        <f>IF(Table1[[#This Row],[Delivery Delay]]&gt;0,"Late","On Time")</f>
        <v>Late</v>
      </c>
      <c r="Q827">
        <v>50.538434848076264</v>
      </c>
      <c r="R827">
        <v>0.17925892325574669</v>
      </c>
      <c r="S827">
        <v>1.3191280431828474E-3</v>
      </c>
      <c r="T827">
        <v>0.73</v>
      </c>
      <c r="U827">
        <v>1</v>
      </c>
      <c r="V827">
        <v>45.52475230641042</v>
      </c>
    </row>
    <row r="828" spans="1:22" x14ac:dyDescent="0.35">
      <c r="A828" t="s">
        <v>107</v>
      </c>
      <c r="B828" t="s">
        <v>15</v>
      </c>
      <c r="C828" t="s">
        <v>9</v>
      </c>
      <c r="D828">
        <v>0.9</v>
      </c>
      <c r="E828" t="s">
        <v>35</v>
      </c>
      <c r="F828" t="s">
        <v>34</v>
      </c>
      <c r="G828">
        <v>1</v>
      </c>
      <c r="H828">
        <v>469.11999999999898</v>
      </c>
      <c r="I828" t="s">
        <v>47</v>
      </c>
      <c r="J828" s="1">
        <v>44305</v>
      </c>
      <c r="K828">
        <v>4.8905124781593203</v>
      </c>
      <c r="L828" s="1">
        <v>44324</v>
      </c>
      <c r="M828" s="1">
        <v>44322</v>
      </c>
      <c r="N828">
        <v>44.0146123034339</v>
      </c>
      <c r="O828">
        <v>-2</v>
      </c>
      <c r="P828" t="str">
        <f>IF(Table1[[#This Row],[Delivery Delay]]&gt;0,"Late","On Time")</f>
        <v>On Time</v>
      </c>
      <c r="Q828">
        <v>4.8905124781593221</v>
      </c>
      <c r="R828">
        <v>0.52488363766559198</v>
      </c>
      <c r="S828">
        <v>2.2719727555614133E-2</v>
      </c>
      <c r="T828">
        <v>0.9</v>
      </c>
      <c r="U828">
        <v>0</v>
      </c>
      <c r="V828">
        <v>38.179264579980263</v>
      </c>
    </row>
    <row r="829" spans="1:22" x14ac:dyDescent="0.35">
      <c r="A829" t="s">
        <v>100</v>
      </c>
      <c r="B829" t="s">
        <v>10</v>
      </c>
      <c r="C829" t="s">
        <v>11</v>
      </c>
      <c r="D829">
        <v>0.64</v>
      </c>
      <c r="E829" t="s">
        <v>37</v>
      </c>
      <c r="F829" t="s">
        <v>34</v>
      </c>
      <c r="G829">
        <v>1</v>
      </c>
      <c r="H829">
        <v>515.76299999999901</v>
      </c>
      <c r="I829" t="s">
        <v>46</v>
      </c>
      <c r="J829" s="1">
        <v>45091</v>
      </c>
      <c r="K829">
        <v>22.2368965102192</v>
      </c>
      <c r="L829" s="1">
        <v>45112</v>
      </c>
      <c r="M829" s="1">
        <v>45117</v>
      </c>
      <c r="N829">
        <v>244.60586161241099</v>
      </c>
      <c r="O829">
        <v>5</v>
      </c>
      <c r="P829" t="str">
        <f>IF(Table1[[#This Row],[Delivery Delay]]&gt;0,"Late","On Time")</f>
        <v>Late</v>
      </c>
      <c r="Q829">
        <v>22.236896510219182</v>
      </c>
      <c r="R829">
        <v>0.67995696900423541</v>
      </c>
      <c r="S829">
        <v>4.0882094705667563E-3</v>
      </c>
      <c r="T829">
        <v>0.64</v>
      </c>
      <c r="U829">
        <v>0</v>
      </c>
      <c r="V829">
        <v>32.921785664201714</v>
      </c>
    </row>
    <row r="830" spans="1:22" x14ac:dyDescent="0.35">
      <c r="A830" t="s">
        <v>101</v>
      </c>
      <c r="B830" t="s">
        <v>6</v>
      </c>
      <c r="C830" t="s">
        <v>5</v>
      </c>
      <c r="D830">
        <v>0.63</v>
      </c>
      <c r="E830" t="s">
        <v>38</v>
      </c>
      <c r="F830" t="s">
        <v>39</v>
      </c>
      <c r="G830">
        <v>0</v>
      </c>
      <c r="H830">
        <v>42.971599999999903</v>
      </c>
      <c r="I830" t="s">
        <v>48</v>
      </c>
      <c r="J830" s="1">
        <v>45167</v>
      </c>
      <c r="K830">
        <v>33.798925038965201</v>
      </c>
      <c r="L830" s="1">
        <v>45182</v>
      </c>
      <c r="M830" s="1">
        <v>45181</v>
      </c>
      <c r="N830">
        <v>371.78817542861799</v>
      </c>
      <c r="O830">
        <v>-1</v>
      </c>
      <c r="P830" t="str">
        <f>IF(Table1[[#This Row],[Delivery Delay]]&gt;0,"Late","On Time")</f>
        <v>On Time</v>
      </c>
      <c r="Q830">
        <v>33.798925038965272</v>
      </c>
      <c r="R830">
        <v>0.25016708233491391</v>
      </c>
      <c r="S830">
        <v>2.689703616440046E-3</v>
      </c>
      <c r="T830">
        <v>0.63</v>
      </c>
      <c r="U830">
        <v>1</v>
      </c>
      <c r="V830">
        <v>43.984032755191485</v>
      </c>
    </row>
    <row r="831" spans="1:22" x14ac:dyDescent="0.35">
      <c r="A831" t="s">
        <v>102</v>
      </c>
      <c r="B831" t="s">
        <v>8</v>
      </c>
      <c r="C831" t="s">
        <v>9</v>
      </c>
      <c r="D831">
        <v>0.88</v>
      </c>
      <c r="E831" t="s">
        <v>35</v>
      </c>
      <c r="F831" t="s">
        <v>34</v>
      </c>
      <c r="G831">
        <v>1</v>
      </c>
      <c r="H831">
        <v>-82.949999999999903</v>
      </c>
      <c r="I831" t="s">
        <v>45</v>
      </c>
      <c r="J831" s="1">
        <v>44498</v>
      </c>
      <c r="K831">
        <v>42.697914314002198</v>
      </c>
      <c r="L831" s="1">
        <v>44512</v>
      </c>
      <c r="M831" s="1">
        <v>44511</v>
      </c>
      <c r="N831">
        <v>256.18748588401297</v>
      </c>
      <c r="O831">
        <v>-1</v>
      </c>
      <c r="P831" t="str">
        <f>IF(Table1[[#This Row],[Delivery Delay]]&gt;0,"Late","On Time")</f>
        <v>On Time</v>
      </c>
      <c r="Q831">
        <v>42.697914314002162</v>
      </c>
      <c r="R831">
        <v>0</v>
      </c>
      <c r="S831">
        <v>3.903391286070635E-3</v>
      </c>
      <c r="T831">
        <v>0.88</v>
      </c>
      <c r="U831">
        <v>0</v>
      </c>
      <c r="V831">
        <v>26.51710173858212</v>
      </c>
    </row>
    <row r="832" spans="1:22" x14ac:dyDescent="0.35">
      <c r="A832" t="s">
        <v>99</v>
      </c>
      <c r="B832" t="s">
        <v>4</v>
      </c>
      <c r="C832" t="s">
        <v>5</v>
      </c>
      <c r="D832">
        <v>0.79</v>
      </c>
      <c r="E832" t="s">
        <v>37</v>
      </c>
      <c r="F832" t="s">
        <v>34</v>
      </c>
      <c r="G832">
        <v>1</v>
      </c>
      <c r="H832">
        <v>339.43849999999901</v>
      </c>
      <c r="I832" t="s">
        <v>47</v>
      </c>
      <c r="J832" s="1">
        <v>44731</v>
      </c>
      <c r="K832">
        <v>10.339464407673599</v>
      </c>
      <c r="L832" s="1">
        <v>44744</v>
      </c>
      <c r="M832" s="1">
        <v>44748</v>
      </c>
      <c r="N832">
        <v>144.75250170743101</v>
      </c>
      <c r="O832">
        <v>4</v>
      </c>
      <c r="P832" t="str">
        <f>IF(Table1[[#This Row],[Delivery Delay]]&gt;0,"Late","On Time")</f>
        <v>Late</v>
      </c>
      <c r="Q832">
        <v>10.339464407673644</v>
      </c>
      <c r="R832">
        <v>0.29211863972836388</v>
      </c>
      <c r="S832">
        <v>6.908343470437334E-3</v>
      </c>
      <c r="T832">
        <v>0.79</v>
      </c>
      <c r="U832">
        <v>0</v>
      </c>
      <c r="V832">
        <v>29.749623098680399</v>
      </c>
    </row>
    <row r="833" spans="1:22" x14ac:dyDescent="0.35">
      <c r="A833" t="s">
        <v>103</v>
      </c>
      <c r="B833" t="s">
        <v>14</v>
      </c>
      <c r="C833" t="s">
        <v>7</v>
      </c>
      <c r="D833">
        <v>0.87</v>
      </c>
      <c r="E833" t="s">
        <v>37</v>
      </c>
      <c r="F833" t="s">
        <v>34</v>
      </c>
      <c r="G833">
        <v>1</v>
      </c>
      <c r="H833">
        <v>258.765999999999</v>
      </c>
      <c r="I833" t="s">
        <v>51</v>
      </c>
      <c r="J833" s="1">
        <v>44963</v>
      </c>
      <c r="K833">
        <v>26.437772677025599</v>
      </c>
      <c r="L833" s="1">
        <v>44983</v>
      </c>
      <c r="M833" s="1">
        <v>44985</v>
      </c>
      <c r="N833">
        <v>396.56659015538401</v>
      </c>
      <c r="O833">
        <v>2</v>
      </c>
      <c r="P833" t="str">
        <f>IF(Table1[[#This Row],[Delivery Delay]]&gt;0,"Late","On Time")</f>
        <v>Late</v>
      </c>
      <c r="Q833">
        <v>26.437772677025599</v>
      </c>
      <c r="R833">
        <v>0.13793746794984504</v>
      </c>
      <c r="S833">
        <v>2.5216445984725458E-3</v>
      </c>
      <c r="T833">
        <v>0.87</v>
      </c>
      <c r="U833">
        <v>0</v>
      </c>
      <c r="V833">
        <v>28.934398696951082</v>
      </c>
    </row>
    <row r="834" spans="1:22" x14ac:dyDescent="0.35">
      <c r="A834" t="s">
        <v>104</v>
      </c>
      <c r="B834" t="s">
        <v>4</v>
      </c>
      <c r="C834" t="s">
        <v>7</v>
      </c>
      <c r="D834">
        <v>0.77</v>
      </c>
      <c r="E834" t="s">
        <v>38</v>
      </c>
      <c r="F834" t="s">
        <v>34</v>
      </c>
      <c r="G834">
        <v>1</v>
      </c>
      <c r="H834">
        <v>33.197400000000002</v>
      </c>
      <c r="I834" t="s">
        <v>51</v>
      </c>
      <c r="J834" s="1">
        <v>45085</v>
      </c>
      <c r="K834">
        <v>71.486406292141297</v>
      </c>
      <c r="L834" s="1">
        <v>45096</v>
      </c>
      <c r="M834" s="1">
        <v>45096</v>
      </c>
      <c r="N834">
        <v>1000.80968808997</v>
      </c>
      <c r="O834">
        <v>0</v>
      </c>
      <c r="P834" t="str">
        <f>IF(Table1[[#This Row],[Delivery Delay]]&gt;0,"Late","On Time")</f>
        <v>On Time</v>
      </c>
      <c r="Q834">
        <v>71.486406292140714</v>
      </c>
      <c r="R834">
        <v>0.38887678434624928</v>
      </c>
      <c r="S834">
        <v>9.9919096697443526E-4</v>
      </c>
      <c r="T834">
        <v>0.77</v>
      </c>
      <c r="U834">
        <v>0</v>
      </c>
      <c r="V834">
        <v>30.90751141593422</v>
      </c>
    </row>
    <row r="835" spans="1:22" x14ac:dyDescent="0.35">
      <c r="A835" t="s">
        <v>105</v>
      </c>
      <c r="B835" t="s">
        <v>15</v>
      </c>
      <c r="C835" t="s">
        <v>9</v>
      </c>
      <c r="D835">
        <v>0.7</v>
      </c>
      <c r="E835" t="s">
        <v>36</v>
      </c>
      <c r="F835" t="s">
        <v>34</v>
      </c>
      <c r="G835">
        <v>1</v>
      </c>
      <c r="H835">
        <v>456.635999999999</v>
      </c>
      <c r="I835" t="s">
        <v>49</v>
      </c>
      <c r="J835" s="1">
        <v>44607</v>
      </c>
      <c r="K835">
        <v>3.6978616405109199</v>
      </c>
      <c r="L835" s="1">
        <v>44617</v>
      </c>
      <c r="M835" s="1">
        <v>44620</v>
      </c>
      <c r="N835">
        <v>48.072201326642002</v>
      </c>
      <c r="O835">
        <v>3</v>
      </c>
      <c r="P835" t="str">
        <f>IF(Table1[[#This Row],[Delivery Delay]]&gt;0,"Late","On Time")</f>
        <v>Late</v>
      </c>
      <c r="Q835">
        <v>3.697861640510923</v>
      </c>
      <c r="R835">
        <v>0.72294169426694965</v>
      </c>
      <c r="S835">
        <v>2.0802043018691384E-2</v>
      </c>
      <c r="T835">
        <v>0.7</v>
      </c>
      <c r="U835">
        <v>0</v>
      </c>
      <c r="V835">
        <v>36.082895175899729</v>
      </c>
    </row>
    <row r="836" spans="1:22" x14ac:dyDescent="0.35">
      <c r="A836" t="s">
        <v>106</v>
      </c>
      <c r="B836" t="s">
        <v>12</v>
      </c>
      <c r="C836" t="s">
        <v>9</v>
      </c>
      <c r="D836">
        <v>0.92</v>
      </c>
      <c r="E836" t="s">
        <v>37</v>
      </c>
      <c r="F836" t="s">
        <v>34</v>
      </c>
      <c r="G836">
        <v>1</v>
      </c>
      <c r="H836">
        <v>529.98839999999996</v>
      </c>
      <c r="I836" t="s">
        <v>49</v>
      </c>
      <c r="J836" s="1">
        <v>44989</v>
      </c>
      <c r="K836">
        <v>75.854513479770404</v>
      </c>
      <c r="L836" s="1">
        <v>45003</v>
      </c>
      <c r="M836" s="1">
        <v>45000</v>
      </c>
      <c r="N836">
        <v>758.54513479770401</v>
      </c>
      <c r="O836">
        <v>-3</v>
      </c>
      <c r="P836" t="str">
        <f>IF(Table1[[#This Row],[Delivery Delay]]&gt;0,"Late","On Time")</f>
        <v>On Time</v>
      </c>
      <c r="Q836">
        <v>75.854513479770404</v>
      </c>
      <c r="R836">
        <v>0.36763942024352964</v>
      </c>
      <c r="S836">
        <v>1.3183131156284979E-3</v>
      </c>
      <c r="T836">
        <v>0.92</v>
      </c>
      <c r="U836">
        <v>0</v>
      </c>
      <c r="V836">
        <v>34.992337798339449</v>
      </c>
    </row>
    <row r="837" spans="1:22" x14ac:dyDescent="0.35">
      <c r="A837" t="s">
        <v>108</v>
      </c>
      <c r="B837" t="s">
        <v>10</v>
      </c>
      <c r="C837" t="s">
        <v>5</v>
      </c>
      <c r="D837">
        <v>0.91</v>
      </c>
      <c r="E837" t="s">
        <v>37</v>
      </c>
      <c r="F837" t="s">
        <v>34</v>
      </c>
      <c r="G837">
        <v>1</v>
      </c>
      <c r="H837">
        <v>193.57749999999999</v>
      </c>
      <c r="I837" t="s">
        <v>50</v>
      </c>
      <c r="J837" s="1">
        <v>44662</v>
      </c>
      <c r="K837">
        <v>33.664447824125901</v>
      </c>
      <c r="L837" s="1">
        <v>44677</v>
      </c>
      <c r="M837" s="1">
        <v>44680</v>
      </c>
      <c r="N837">
        <v>269.31558259300698</v>
      </c>
      <c r="O837">
        <v>3</v>
      </c>
      <c r="P837" t="str">
        <f>IF(Table1[[#This Row],[Delivery Delay]]&gt;0,"Late","On Time")</f>
        <v>Late</v>
      </c>
      <c r="Q837">
        <v>33.664447824125872</v>
      </c>
      <c r="R837">
        <v>0.38632247506623224</v>
      </c>
      <c r="S837">
        <v>3.7131160045470236E-3</v>
      </c>
      <c r="T837">
        <v>0.91</v>
      </c>
      <c r="U837">
        <v>0</v>
      </c>
      <c r="V837">
        <v>35.137842981461063</v>
      </c>
    </row>
    <row r="838" spans="1:22" x14ac:dyDescent="0.35">
      <c r="A838" t="s">
        <v>102</v>
      </c>
      <c r="B838" t="s">
        <v>12</v>
      </c>
      <c r="C838" t="s">
        <v>11</v>
      </c>
      <c r="D838">
        <v>0.87</v>
      </c>
      <c r="E838" t="s">
        <v>36</v>
      </c>
      <c r="F838" t="s">
        <v>34</v>
      </c>
      <c r="G838">
        <v>1</v>
      </c>
      <c r="H838">
        <v>357.9828</v>
      </c>
      <c r="I838" t="s">
        <v>46</v>
      </c>
      <c r="J838" s="1">
        <v>45295</v>
      </c>
      <c r="K838">
        <v>10.1871396885044</v>
      </c>
      <c r="L838" s="1">
        <v>45305</v>
      </c>
      <c r="M838" s="1">
        <v>45308</v>
      </c>
      <c r="N838">
        <v>91.684257196539605</v>
      </c>
      <c r="O838">
        <v>3</v>
      </c>
      <c r="P838" t="str">
        <f>IF(Table1[[#This Row],[Delivery Delay]]&gt;0,"Late","On Time")</f>
        <v>Late</v>
      </c>
      <c r="Q838">
        <v>10.1871396885044</v>
      </c>
      <c r="R838">
        <v>0.77274238294117281</v>
      </c>
      <c r="S838">
        <v>1.0906997892302742E-2</v>
      </c>
      <c r="T838">
        <v>0.87</v>
      </c>
      <c r="U838">
        <v>0</v>
      </c>
      <c r="V838">
        <v>41.882057595592535</v>
      </c>
    </row>
    <row r="839" spans="1:22" x14ac:dyDescent="0.35">
      <c r="A839" t="s">
        <v>99</v>
      </c>
      <c r="B839" t="s">
        <v>14</v>
      </c>
      <c r="C839" t="s">
        <v>7</v>
      </c>
      <c r="D839">
        <v>0.71</v>
      </c>
      <c r="E839" t="s">
        <v>38</v>
      </c>
      <c r="F839" t="s">
        <v>34</v>
      </c>
      <c r="G839">
        <v>1</v>
      </c>
      <c r="H839">
        <v>432.782499999999</v>
      </c>
      <c r="I839" t="s">
        <v>47</v>
      </c>
      <c r="J839" s="1">
        <v>44530</v>
      </c>
      <c r="K839">
        <v>68.126770433720694</v>
      </c>
      <c r="L839" s="1">
        <v>44544</v>
      </c>
      <c r="M839" s="1">
        <v>44542</v>
      </c>
      <c r="N839">
        <v>817.52124520464804</v>
      </c>
      <c r="O839">
        <v>-2</v>
      </c>
      <c r="P839" t="str">
        <f>IF(Table1[[#This Row],[Delivery Delay]]&gt;0,"Late","On Time")</f>
        <v>On Time</v>
      </c>
      <c r="Q839">
        <v>68.126770433720665</v>
      </c>
      <c r="R839">
        <v>0.6101694317849371</v>
      </c>
      <c r="S839">
        <v>1.2232098014158305E-3</v>
      </c>
      <c r="T839">
        <v>0.71</v>
      </c>
      <c r="U839">
        <v>0</v>
      </c>
      <c r="V839">
        <v>33.540084929741212</v>
      </c>
    </row>
    <row r="840" spans="1:22" x14ac:dyDescent="0.35">
      <c r="A840" t="s">
        <v>103</v>
      </c>
      <c r="B840" t="s">
        <v>12</v>
      </c>
      <c r="C840" t="s">
        <v>7</v>
      </c>
      <c r="D840">
        <v>0.83</v>
      </c>
      <c r="E840" t="s">
        <v>35</v>
      </c>
      <c r="F840" t="s">
        <v>34</v>
      </c>
      <c r="G840">
        <v>1</v>
      </c>
      <c r="H840">
        <v>312.5256</v>
      </c>
      <c r="I840" t="s">
        <v>47</v>
      </c>
      <c r="J840" s="1">
        <v>45189</v>
      </c>
      <c r="K840">
        <v>13.967264913373199</v>
      </c>
      <c r="L840" s="1">
        <v>45204</v>
      </c>
      <c r="M840" s="1">
        <v>45204</v>
      </c>
      <c r="N840">
        <v>153.63991404710501</v>
      </c>
      <c r="O840">
        <v>0</v>
      </c>
      <c r="P840" t="str">
        <f>IF(Table1[[#This Row],[Delivery Delay]]&gt;0,"Late","On Time")</f>
        <v>On Time</v>
      </c>
      <c r="Q840">
        <v>13.967264913373183</v>
      </c>
      <c r="R840">
        <v>0.30037668475891482</v>
      </c>
      <c r="S840">
        <v>6.508725328324555E-3</v>
      </c>
      <c r="T840">
        <v>0.83</v>
      </c>
      <c r="U840">
        <v>0</v>
      </c>
      <c r="V840">
        <v>31.10279545502803</v>
      </c>
    </row>
    <row r="841" spans="1:22" x14ac:dyDescent="0.35">
      <c r="A841" t="s">
        <v>104</v>
      </c>
      <c r="B841" t="s">
        <v>12</v>
      </c>
      <c r="C841" t="s">
        <v>11</v>
      </c>
      <c r="D841">
        <v>0.74</v>
      </c>
      <c r="E841" t="s">
        <v>37</v>
      </c>
      <c r="F841" t="s">
        <v>34</v>
      </c>
      <c r="G841">
        <v>1</v>
      </c>
      <c r="H841">
        <v>595.40039999999999</v>
      </c>
      <c r="I841" t="s">
        <v>50</v>
      </c>
      <c r="J841" s="1">
        <v>44973</v>
      </c>
      <c r="K841">
        <v>6.7357202153938003</v>
      </c>
      <c r="L841" s="1">
        <v>44993</v>
      </c>
      <c r="M841" s="1">
        <v>44996</v>
      </c>
      <c r="N841">
        <v>107.77152344629999</v>
      </c>
      <c r="O841">
        <v>3</v>
      </c>
      <c r="P841" t="str">
        <f>IF(Table1[[#This Row],[Delivery Delay]]&gt;0,"Late","On Time")</f>
        <v>Late</v>
      </c>
      <c r="Q841">
        <v>6.7357202153937497</v>
      </c>
      <c r="R841">
        <v>0.34814046107471835</v>
      </c>
      <c r="S841">
        <v>9.2788889682744111E-3</v>
      </c>
      <c r="T841">
        <v>0.74</v>
      </c>
      <c r="U841">
        <v>0</v>
      </c>
      <c r="V841">
        <v>29.441175890542603</v>
      </c>
    </row>
    <row r="842" spans="1:22" x14ac:dyDescent="0.35">
      <c r="A842" t="s">
        <v>105</v>
      </c>
      <c r="B842" t="s">
        <v>14</v>
      </c>
      <c r="C842" t="s">
        <v>5</v>
      </c>
      <c r="D842">
        <v>0.64</v>
      </c>
      <c r="E842" t="s">
        <v>37</v>
      </c>
      <c r="F842" t="s">
        <v>39</v>
      </c>
      <c r="G842">
        <v>0</v>
      </c>
      <c r="H842">
        <v>286.47119999999899</v>
      </c>
      <c r="I842" t="s">
        <v>48</v>
      </c>
      <c r="J842" s="1">
        <v>44667</v>
      </c>
      <c r="K842">
        <v>79.324355196249499</v>
      </c>
      <c r="L842" s="1">
        <v>44691</v>
      </c>
      <c r="M842" s="1">
        <v>44691</v>
      </c>
      <c r="N842">
        <v>793.24355196249496</v>
      </c>
      <c r="O842">
        <v>0</v>
      </c>
      <c r="P842" t="str">
        <f>IF(Table1[[#This Row],[Delivery Delay]]&gt;0,"Late","On Time")</f>
        <v>On Time</v>
      </c>
      <c r="Q842">
        <v>79.324355196249499</v>
      </c>
      <c r="R842">
        <v>0.62364308616152442</v>
      </c>
      <c r="S842">
        <v>1.2606468688286048E-3</v>
      </c>
      <c r="T842">
        <v>0.64</v>
      </c>
      <c r="U842">
        <v>1</v>
      </c>
      <c r="V842">
        <v>51.710681129295352</v>
      </c>
    </row>
    <row r="843" spans="1:22" x14ac:dyDescent="0.35">
      <c r="A843" t="s">
        <v>106</v>
      </c>
      <c r="B843" t="s">
        <v>8</v>
      </c>
      <c r="C843" t="s">
        <v>5</v>
      </c>
      <c r="D843">
        <v>0.96</v>
      </c>
      <c r="E843" t="s">
        <v>38</v>
      </c>
      <c r="F843" t="s">
        <v>34</v>
      </c>
      <c r="G843">
        <v>1</v>
      </c>
      <c r="H843">
        <v>99.223999999999904</v>
      </c>
      <c r="I843" t="s">
        <v>48</v>
      </c>
      <c r="J843" s="1">
        <v>44447</v>
      </c>
      <c r="K843">
        <v>62.107765852274497</v>
      </c>
      <c r="L843" s="1">
        <v>44461</v>
      </c>
      <c r="M843" s="1">
        <v>44460</v>
      </c>
      <c r="N843">
        <v>683.18542437501901</v>
      </c>
      <c r="O843">
        <v>-1</v>
      </c>
      <c r="P843" t="str">
        <f>IF(Table1[[#This Row],[Delivery Delay]]&gt;0,"Late","On Time")</f>
        <v>On Time</v>
      </c>
      <c r="Q843">
        <v>62.107765852274454</v>
      </c>
      <c r="R843">
        <v>0.11327923427146637</v>
      </c>
      <c r="S843">
        <v>1.4637314619450558E-3</v>
      </c>
      <c r="T843">
        <v>0.96</v>
      </c>
      <c r="U843">
        <v>0</v>
      </c>
      <c r="V843">
        <v>31.109496629287676</v>
      </c>
    </row>
    <row r="844" spans="1:22" x14ac:dyDescent="0.35">
      <c r="A844" t="s">
        <v>108</v>
      </c>
      <c r="B844" t="s">
        <v>8</v>
      </c>
      <c r="C844" t="s">
        <v>9</v>
      </c>
      <c r="D844">
        <v>0.65</v>
      </c>
      <c r="E844" t="s">
        <v>38</v>
      </c>
      <c r="F844" t="s">
        <v>39</v>
      </c>
      <c r="G844">
        <v>0</v>
      </c>
      <c r="H844">
        <v>129.197</v>
      </c>
      <c r="I844" t="s">
        <v>50</v>
      </c>
      <c r="J844" s="1">
        <v>44265</v>
      </c>
      <c r="K844">
        <v>58.624647230818397</v>
      </c>
      <c r="L844" s="1">
        <v>44282</v>
      </c>
      <c r="M844" s="1">
        <v>44283</v>
      </c>
      <c r="N844">
        <v>820.74506123145795</v>
      </c>
      <c r="O844">
        <v>1</v>
      </c>
      <c r="P844" t="str">
        <f>IF(Table1[[#This Row],[Delivery Delay]]&gt;0,"Late","On Time")</f>
        <v>Late</v>
      </c>
      <c r="Q844">
        <v>58.624647230818425</v>
      </c>
      <c r="R844">
        <v>0.38440390720536038</v>
      </c>
      <c r="S844">
        <v>1.2184051384964598E-3</v>
      </c>
      <c r="T844">
        <v>0.65</v>
      </c>
      <c r="U844">
        <v>1</v>
      </c>
      <c r="V844">
        <v>47.224630298262099</v>
      </c>
    </row>
    <row r="845" spans="1:22" x14ac:dyDescent="0.35">
      <c r="A845" t="s">
        <v>107</v>
      </c>
      <c r="B845" t="s">
        <v>14</v>
      </c>
      <c r="C845" t="s">
        <v>9</v>
      </c>
      <c r="D845">
        <v>0.97</v>
      </c>
      <c r="E845" t="s">
        <v>36</v>
      </c>
      <c r="F845" t="s">
        <v>39</v>
      </c>
      <c r="G845">
        <v>0</v>
      </c>
      <c r="H845">
        <v>7.9199999999999804</v>
      </c>
      <c r="I845" t="s">
        <v>48</v>
      </c>
      <c r="J845" s="1">
        <v>44358</v>
      </c>
      <c r="K845">
        <v>54.206251116014499</v>
      </c>
      <c r="L845" s="1">
        <v>44368</v>
      </c>
      <c r="M845" s="1">
        <v>44368</v>
      </c>
      <c r="N845">
        <v>596.26876227616003</v>
      </c>
      <c r="O845">
        <v>0</v>
      </c>
      <c r="P845" t="str">
        <f>IF(Table1[[#This Row],[Delivery Delay]]&gt;0,"Late","On Time")</f>
        <v>On Time</v>
      </c>
      <c r="Q845">
        <v>54.206251116014549</v>
      </c>
      <c r="R845">
        <v>3.5928143712574759E-2</v>
      </c>
      <c r="S845">
        <v>1.6770960735602867E-3</v>
      </c>
      <c r="T845">
        <v>0.97</v>
      </c>
      <c r="U845">
        <v>1</v>
      </c>
      <c r="V845">
        <v>49.868875756458301</v>
      </c>
    </row>
    <row r="846" spans="1:22" x14ac:dyDescent="0.35">
      <c r="A846" t="s">
        <v>100</v>
      </c>
      <c r="B846" t="s">
        <v>10</v>
      </c>
      <c r="C846" t="s">
        <v>9</v>
      </c>
      <c r="D846">
        <v>0.77</v>
      </c>
      <c r="E846" t="s">
        <v>36</v>
      </c>
      <c r="F846" t="s">
        <v>34</v>
      </c>
      <c r="G846">
        <v>1</v>
      </c>
      <c r="H846">
        <v>599.34099999999899</v>
      </c>
      <c r="I846" t="s">
        <v>49</v>
      </c>
      <c r="J846" s="1">
        <v>45338</v>
      </c>
      <c r="K846">
        <v>38.134833823214201</v>
      </c>
      <c r="L846" s="1">
        <v>45360</v>
      </c>
      <c r="M846" s="1">
        <v>45359</v>
      </c>
      <c r="N846">
        <v>266.94383676249902</v>
      </c>
      <c r="O846">
        <v>-1</v>
      </c>
      <c r="P846" t="str">
        <f>IF(Table1[[#This Row],[Delivery Delay]]&gt;0,"Late","On Time")</f>
        <v>On Time</v>
      </c>
      <c r="Q846">
        <v>38.134833823214144</v>
      </c>
      <c r="R846">
        <v>0.49612637319429059</v>
      </c>
      <c r="S846">
        <v>3.7461063425476421E-3</v>
      </c>
      <c r="T846">
        <v>0.77</v>
      </c>
      <c r="U846">
        <v>0</v>
      </c>
      <c r="V846">
        <v>33.13491065416224</v>
      </c>
    </row>
    <row r="847" spans="1:22" x14ac:dyDescent="0.35">
      <c r="A847" t="s">
        <v>101</v>
      </c>
      <c r="B847" t="s">
        <v>15</v>
      </c>
      <c r="C847" t="s">
        <v>7</v>
      </c>
      <c r="D847">
        <v>0.67</v>
      </c>
      <c r="E847" t="s">
        <v>35</v>
      </c>
      <c r="F847" t="s">
        <v>34</v>
      </c>
      <c r="G847">
        <v>1</v>
      </c>
      <c r="H847">
        <v>933.98559999999998</v>
      </c>
      <c r="I847" t="s">
        <v>47</v>
      </c>
      <c r="J847" s="1">
        <v>44630</v>
      </c>
      <c r="K847">
        <v>47.869586339061001</v>
      </c>
      <c r="L847" s="1">
        <v>44641</v>
      </c>
      <c r="M847" s="1">
        <v>44641</v>
      </c>
      <c r="N847">
        <v>430.82627705154903</v>
      </c>
      <c r="O847">
        <v>0</v>
      </c>
      <c r="P847" t="str">
        <f>IF(Table1[[#This Row],[Delivery Delay]]&gt;0,"Late","On Time")</f>
        <v>On Time</v>
      </c>
      <c r="Q847">
        <v>47.869586339061001</v>
      </c>
      <c r="R847">
        <v>0.90884194235946003</v>
      </c>
      <c r="S847">
        <v>2.3211211879732873E-3</v>
      </c>
      <c r="T847">
        <v>0.67</v>
      </c>
      <c r="U847">
        <v>0</v>
      </c>
      <c r="V847">
        <v>38.346472482828403</v>
      </c>
    </row>
    <row r="848" spans="1:22" x14ac:dyDescent="0.35">
      <c r="A848" t="s">
        <v>102</v>
      </c>
      <c r="B848" t="s">
        <v>13</v>
      </c>
      <c r="C848" t="s">
        <v>9</v>
      </c>
      <c r="D848">
        <v>0.81</v>
      </c>
      <c r="E848" t="s">
        <v>37</v>
      </c>
      <c r="F848" t="s">
        <v>34</v>
      </c>
      <c r="G848">
        <v>1</v>
      </c>
      <c r="H848">
        <v>792.22359999999901</v>
      </c>
      <c r="I848" t="s">
        <v>50</v>
      </c>
      <c r="J848" s="1">
        <v>44619</v>
      </c>
      <c r="K848">
        <v>46.904529835071102</v>
      </c>
      <c r="L848" s="1">
        <v>44636</v>
      </c>
      <c r="M848" s="1">
        <v>44639</v>
      </c>
      <c r="N848">
        <v>187.61811934028401</v>
      </c>
      <c r="O848">
        <v>3</v>
      </c>
      <c r="P848" t="str">
        <f>IF(Table1[[#This Row],[Delivery Delay]]&gt;0,"Late","On Time")</f>
        <v>Late</v>
      </c>
      <c r="Q848">
        <v>46.904529835071003</v>
      </c>
      <c r="R848">
        <v>0.4246314039068802</v>
      </c>
      <c r="S848">
        <v>5.3299756095854184E-3</v>
      </c>
      <c r="T848">
        <v>0.81</v>
      </c>
      <c r="U848">
        <v>0</v>
      </c>
      <c r="V848">
        <v>32.952527346425164</v>
      </c>
    </row>
    <row r="849" spans="1:22" x14ac:dyDescent="0.35">
      <c r="A849" t="s">
        <v>99</v>
      </c>
      <c r="B849" t="s">
        <v>12</v>
      </c>
      <c r="C849" t="s">
        <v>5</v>
      </c>
      <c r="D849">
        <v>0.94</v>
      </c>
      <c r="E849" t="s">
        <v>38</v>
      </c>
      <c r="F849" t="s">
        <v>39</v>
      </c>
      <c r="G849">
        <v>0</v>
      </c>
      <c r="H849">
        <v>677.54959999999903</v>
      </c>
      <c r="I849" t="s">
        <v>47</v>
      </c>
      <c r="J849" s="1">
        <v>44394</v>
      </c>
      <c r="K849">
        <v>5.98065397428116</v>
      </c>
      <c r="L849" s="1">
        <v>44409</v>
      </c>
      <c r="M849" s="1">
        <v>44413</v>
      </c>
      <c r="N849">
        <v>89.709809614217406</v>
      </c>
      <c r="O849">
        <v>4</v>
      </c>
      <c r="P849" t="str">
        <f>IF(Table1[[#This Row],[Delivery Delay]]&gt;0,"Late","On Time")</f>
        <v>Late</v>
      </c>
      <c r="Q849">
        <v>5.98065397428116</v>
      </c>
      <c r="R849">
        <v>0.48798302822042272</v>
      </c>
      <c r="S849">
        <v>1.1147052973363103E-2</v>
      </c>
      <c r="T849">
        <v>0.94</v>
      </c>
      <c r="U849">
        <v>1</v>
      </c>
      <c r="V849">
        <v>58.294072153609356</v>
      </c>
    </row>
    <row r="850" spans="1:22" x14ac:dyDescent="0.35">
      <c r="A850" t="s">
        <v>103</v>
      </c>
      <c r="B850" t="s">
        <v>10</v>
      </c>
      <c r="C850" t="s">
        <v>11</v>
      </c>
      <c r="D850">
        <v>0.89</v>
      </c>
      <c r="E850" t="s">
        <v>38</v>
      </c>
      <c r="F850" t="s">
        <v>34</v>
      </c>
      <c r="G850">
        <v>1</v>
      </c>
      <c r="H850">
        <v>16.103999999999999</v>
      </c>
      <c r="I850" t="s">
        <v>51</v>
      </c>
      <c r="J850" s="1">
        <v>45163</v>
      </c>
      <c r="K850">
        <v>72.204681926847499</v>
      </c>
      <c r="L850" s="1">
        <v>45184</v>
      </c>
      <c r="M850" s="1">
        <v>45181</v>
      </c>
      <c r="N850">
        <v>1010.86554697586</v>
      </c>
      <c r="O850">
        <v>-3</v>
      </c>
      <c r="P850" t="str">
        <f>IF(Table1[[#This Row],[Delivery Delay]]&gt;0,"Late","On Time")</f>
        <v>On Time</v>
      </c>
      <c r="Q850">
        <v>72.204681926847144</v>
      </c>
      <c r="R850">
        <v>1.3442134715164304E-2</v>
      </c>
      <c r="S850">
        <v>9.8925124413591333E-4</v>
      </c>
      <c r="T850">
        <v>0.89</v>
      </c>
      <c r="U850">
        <v>0</v>
      </c>
      <c r="V850">
        <v>26.998520231627367</v>
      </c>
    </row>
    <row r="851" spans="1:22" x14ac:dyDescent="0.35">
      <c r="A851" t="s">
        <v>104</v>
      </c>
      <c r="B851" t="s">
        <v>12</v>
      </c>
      <c r="C851" t="s">
        <v>5</v>
      </c>
      <c r="D851">
        <v>0.91</v>
      </c>
      <c r="E851" t="s">
        <v>37</v>
      </c>
      <c r="F851" t="s">
        <v>34</v>
      </c>
      <c r="G851">
        <v>1</v>
      </c>
      <c r="H851">
        <v>293.10000000000002</v>
      </c>
      <c r="I851" t="s">
        <v>49</v>
      </c>
      <c r="J851" s="1">
        <v>44947</v>
      </c>
      <c r="K851">
        <v>41.670283084050197</v>
      </c>
      <c r="L851" s="1">
        <v>44965</v>
      </c>
      <c r="M851" s="1">
        <v>44965</v>
      </c>
      <c r="N851">
        <v>625.05424626075296</v>
      </c>
      <c r="O851">
        <v>0</v>
      </c>
      <c r="P851" t="str">
        <f>IF(Table1[[#This Row],[Delivery Delay]]&gt;0,"Late","On Time")</f>
        <v>On Time</v>
      </c>
      <c r="Q851">
        <v>41.670283084050197</v>
      </c>
      <c r="R851">
        <v>0.90212373037857818</v>
      </c>
      <c r="S851">
        <v>1.5998611416245486E-3</v>
      </c>
      <c r="T851">
        <v>0.91</v>
      </c>
      <c r="U851">
        <v>0</v>
      </c>
      <c r="V851">
        <v>45.390470441820305</v>
      </c>
    </row>
    <row r="852" spans="1:22" x14ac:dyDescent="0.35">
      <c r="A852" t="s">
        <v>105</v>
      </c>
      <c r="B852" t="s">
        <v>13</v>
      </c>
      <c r="C852" t="s">
        <v>7</v>
      </c>
      <c r="D852">
        <v>0.86</v>
      </c>
      <c r="E852" t="s">
        <v>36</v>
      </c>
      <c r="F852" t="s">
        <v>34</v>
      </c>
      <c r="G852">
        <v>1</v>
      </c>
      <c r="H852">
        <v>341.68959999999998</v>
      </c>
      <c r="I852" t="s">
        <v>45</v>
      </c>
      <c r="J852" s="1">
        <v>44305</v>
      </c>
      <c r="K852">
        <v>15.1701547436881</v>
      </c>
      <c r="L852" s="1">
        <v>44324</v>
      </c>
      <c r="M852" s="1">
        <v>44326</v>
      </c>
      <c r="N852">
        <v>166.871702180569</v>
      </c>
      <c r="O852">
        <v>2</v>
      </c>
      <c r="P852" t="str">
        <f>IF(Table1[[#This Row],[Delivery Delay]]&gt;0,"Late","On Time")</f>
        <v>Late</v>
      </c>
      <c r="Q852">
        <v>15.170154743688091</v>
      </c>
      <c r="R852">
        <v>0.18730419346124563</v>
      </c>
      <c r="S852">
        <v>5.9926277908876197E-3</v>
      </c>
      <c r="T852">
        <v>0.86</v>
      </c>
      <c r="U852">
        <v>0</v>
      </c>
      <c r="V852">
        <v>29.725862702951545</v>
      </c>
    </row>
    <row r="853" spans="1:22" x14ac:dyDescent="0.35">
      <c r="A853" t="s">
        <v>106</v>
      </c>
      <c r="B853" t="s">
        <v>15</v>
      </c>
      <c r="C853" t="s">
        <v>5</v>
      </c>
      <c r="D853">
        <v>0.87</v>
      </c>
      <c r="E853" t="s">
        <v>38</v>
      </c>
      <c r="F853" t="s">
        <v>34</v>
      </c>
      <c r="G853">
        <v>1</v>
      </c>
      <c r="H853">
        <v>616.29359999999997</v>
      </c>
      <c r="I853" t="s">
        <v>49</v>
      </c>
      <c r="J853" s="1">
        <v>44432</v>
      </c>
      <c r="K853">
        <v>46.3045379163893</v>
      </c>
      <c r="L853" s="1">
        <v>44449</v>
      </c>
      <c r="M853" s="1">
        <v>44447</v>
      </c>
      <c r="N853">
        <v>324.13176541472501</v>
      </c>
      <c r="O853">
        <v>-2</v>
      </c>
      <c r="P853" t="str">
        <f>IF(Table1[[#This Row],[Delivery Delay]]&gt;0,"Late","On Time")</f>
        <v>On Time</v>
      </c>
      <c r="Q853">
        <v>46.304537916389286</v>
      </c>
      <c r="R853">
        <v>0.65564990335898787</v>
      </c>
      <c r="S853">
        <v>3.0851650677325773E-3</v>
      </c>
      <c r="T853">
        <v>0.87</v>
      </c>
      <c r="U853">
        <v>0</v>
      </c>
      <c r="V853">
        <v>39.305553019211736</v>
      </c>
    </row>
    <row r="854" spans="1:22" x14ac:dyDescent="0.35">
      <c r="A854" t="s">
        <v>108</v>
      </c>
      <c r="B854" t="s">
        <v>8</v>
      </c>
      <c r="C854" t="s">
        <v>9</v>
      </c>
      <c r="D854">
        <v>0.93</v>
      </c>
      <c r="E854" t="s">
        <v>38</v>
      </c>
      <c r="F854" t="s">
        <v>34</v>
      </c>
      <c r="G854">
        <v>1</v>
      </c>
      <c r="H854">
        <v>211.2072</v>
      </c>
      <c r="I854" t="s">
        <v>50</v>
      </c>
      <c r="J854" s="1">
        <v>44721</v>
      </c>
      <c r="K854">
        <v>68.656178309003593</v>
      </c>
      <c r="L854" s="1">
        <v>44745</v>
      </c>
      <c r="M854" s="1">
        <v>44747</v>
      </c>
      <c r="N854">
        <v>892.53031801704697</v>
      </c>
      <c r="O854">
        <v>2</v>
      </c>
      <c r="P854" t="str">
        <f>IF(Table1[[#This Row],[Delivery Delay]]&gt;0,"Late","On Time")</f>
        <v>Late</v>
      </c>
      <c r="Q854">
        <v>68.656178309003607</v>
      </c>
      <c r="R854">
        <v>0.34859161903403801</v>
      </c>
      <c r="S854">
        <v>1.1204101192010157E-3</v>
      </c>
      <c r="T854">
        <v>0.93</v>
      </c>
      <c r="U854">
        <v>0</v>
      </c>
      <c r="V854">
        <v>34.905444684256793</v>
      </c>
    </row>
    <row r="855" spans="1:22" x14ac:dyDescent="0.35">
      <c r="A855" t="s">
        <v>105</v>
      </c>
      <c r="B855" t="s">
        <v>10</v>
      </c>
      <c r="C855" t="s">
        <v>7</v>
      </c>
      <c r="D855">
        <v>0.7</v>
      </c>
      <c r="E855" t="s">
        <v>37</v>
      </c>
      <c r="F855" t="s">
        <v>34</v>
      </c>
      <c r="G855">
        <v>1</v>
      </c>
      <c r="H855">
        <v>106.63460000000001</v>
      </c>
      <c r="I855" t="s">
        <v>45</v>
      </c>
      <c r="J855" s="1">
        <v>45378</v>
      </c>
      <c r="K855">
        <v>74.418676657902395</v>
      </c>
      <c r="L855" s="1">
        <v>45394</v>
      </c>
      <c r="M855" s="1">
        <v>45400</v>
      </c>
      <c r="N855">
        <v>1041.86147321063</v>
      </c>
      <c r="O855">
        <v>6</v>
      </c>
      <c r="P855" t="str">
        <f>IF(Table1[[#This Row],[Delivery Delay]]&gt;0,"Late","On Time")</f>
        <v>Late</v>
      </c>
      <c r="Q855">
        <v>74.418676657902139</v>
      </c>
      <c r="R855">
        <v>0.44820536444589781</v>
      </c>
      <c r="S855">
        <v>9.5982049985817353E-4</v>
      </c>
      <c r="T855">
        <v>0.7</v>
      </c>
      <c r="U855">
        <v>0</v>
      </c>
      <c r="V855">
        <v>29.992901903913697</v>
      </c>
    </row>
    <row r="856" spans="1:22" x14ac:dyDescent="0.35">
      <c r="A856" t="s">
        <v>106</v>
      </c>
      <c r="B856" t="s">
        <v>6</v>
      </c>
      <c r="C856" t="s">
        <v>11</v>
      </c>
      <c r="D856">
        <v>0.79</v>
      </c>
      <c r="E856" t="s">
        <v>36</v>
      </c>
      <c r="F856" t="s">
        <v>34</v>
      </c>
      <c r="G856">
        <v>1</v>
      </c>
      <c r="H856">
        <v>201.80879999999999</v>
      </c>
      <c r="I856" t="s">
        <v>51</v>
      </c>
      <c r="J856" s="1">
        <v>44394</v>
      </c>
      <c r="K856">
        <v>27.886817182200499</v>
      </c>
      <c r="L856" s="1">
        <v>44408</v>
      </c>
      <c r="M856" s="1">
        <v>44405</v>
      </c>
      <c r="N856">
        <v>195.20772027540301</v>
      </c>
      <c r="O856">
        <v>-3</v>
      </c>
      <c r="P856" t="str">
        <f>IF(Table1[[#This Row],[Delivery Delay]]&gt;0,"Late","On Time")</f>
        <v>On Time</v>
      </c>
      <c r="Q856">
        <v>27.886817182200428</v>
      </c>
      <c r="R856">
        <v>0.57772098152175033</v>
      </c>
      <c r="S856">
        <v>5.1227482119517598E-3</v>
      </c>
      <c r="T856">
        <v>0.79</v>
      </c>
      <c r="U856">
        <v>0</v>
      </c>
      <c r="V856">
        <v>35.408102076793554</v>
      </c>
    </row>
    <row r="857" spans="1:22" x14ac:dyDescent="0.35">
      <c r="A857" t="s">
        <v>108</v>
      </c>
      <c r="B857" t="s">
        <v>6</v>
      </c>
      <c r="C857" t="s">
        <v>9</v>
      </c>
      <c r="D857">
        <v>0.69</v>
      </c>
      <c r="E857" t="s">
        <v>36</v>
      </c>
      <c r="F857" t="s">
        <v>34</v>
      </c>
      <c r="G857">
        <v>1</v>
      </c>
      <c r="H857">
        <v>790.74799999999902</v>
      </c>
      <c r="I857" t="s">
        <v>50</v>
      </c>
      <c r="J857" s="1">
        <v>45286</v>
      </c>
      <c r="K857">
        <v>15.5128897402468</v>
      </c>
      <c r="L857" s="1">
        <v>45301</v>
      </c>
      <c r="M857" s="1">
        <v>45306</v>
      </c>
      <c r="N857">
        <v>155.128897402468</v>
      </c>
      <c r="O857">
        <v>5</v>
      </c>
      <c r="P857" t="str">
        <f>IF(Table1[[#This Row],[Delivery Delay]]&gt;0,"Late","On Time")</f>
        <v>Late</v>
      </c>
      <c r="Q857">
        <v>15.5128897402468</v>
      </c>
      <c r="R857">
        <v>0.64659167846875376</v>
      </c>
      <c r="S857">
        <v>6.4462522247263178E-3</v>
      </c>
      <c r="T857">
        <v>0.69</v>
      </c>
      <c r="U857">
        <v>0</v>
      </c>
      <c r="V857">
        <v>33.825221136116866</v>
      </c>
    </row>
    <row r="858" spans="1:22" x14ac:dyDescent="0.35">
      <c r="A858" t="s">
        <v>107</v>
      </c>
      <c r="B858" t="s">
        <v>13</v>
      </c>
      <c r="C858" t="s">
        <v>7</v>
      </c>
      <c r="D858">
        <v>0.99</v>
      </c>
      <c r="E858" t="s">
        <v>36</v>
      </c>
      <c r="F858" t="s">
        <v>34</v>
      </c>
      <c r="G858">
        <v>1</v>
      </c>
      <c r="H858">
        <v>511.02800000000002</v>
      </c>
      <c r="I858" t="s">
        <v>46</v>
      </c>
      <c r="J858" s="1">
        <v>45111</v>
      </c>
      <c r="K858">
        <v>44.566274355148103</v>
      </c>
      <c r="L858" s="1">
        <v>45132</v>
      </c>
      <c r="M858" s="1">
        <v>45136</v>
      </c>
      <c r="N858">
        <v>445.66274355148101</v>
      </c>
      <c r="O858">
        <v>4</v>
      </c>
      <c r="P858" t="str">
        <f>IF(Table1[[#This Row],[Delivery Delay]]&gt;0,"Late","On Time")</f>
        <v>Late</v>
      </c>
      <c r="Q858">
        <v>44.566274355148103</v>
      </c>
      <c r="R858">
        <v>0.36477820416181272</v>
      </c>
      <c r="S858">
        <v>2.2438492211195671E-3</v>
      </c>
      <c r="T858">
        <v>0.99</v>
      </c>
      <c r="U858">
        <v>0</v>
      </c>
      <c r="V858">
        <v>37.062879559869842</v>
      </c>
    </row>
    <row r="859" spans="1:22" x14ac:dyDescent="0.35">
      <c r="A859" t="s">
        <v>100</v>
      </c>
      <c r="B859" t="s">
        <v>6</v>
      </c>
      <c r="C859" t="s">
        <v>11</v>
      </c>
      <c r="D859">
        <v>0.97</v>
      </c>
      <c r="E859" t="s">
        <v>35</v>
      </c>
      <c r="F859" t="s">
        <v>34</v>
      </c>
      <c r="G859">
        <v>1</v>
      </c>
      <c r="H859">
        <v>295.77</v>
      </c>
      <c r="I859" t="s">
        <v>47</v>
      </c>
      <c r="J859" s="1">
        <v>44592</v>
      </c>
      <c r="K859">
        <v>60.1819454892617</v>
      </c>
      <c r="L859" s="1">
        <v>44613</v>
      </c>
      <c r="M859" s="1">
        <v>44612</v>
      </c>
      <c r="N859">
        <v>782.36529136040201</v>
      </c>
      <c r="O859">
        <v>-1</v>
      </c>
      <c r="P859" t="str">
        <f>IF(Table1[[#This Row],[Delivery Delay]]&gt;0,"Late","On Time")</f>
        <v>On Time</v>
      </c>
      <c r="Q859">
        <v>60.181945489261693</v>
      </c>
      <c r="R859">
        <v>0.41595645937051728</v>
      </c>
      <c r="S859">
        <v>1.2781753115110306E-3</v>
      </c>
      <c r="T859">
        <v>0.97</v>
      </c>
      <c r="U859">
        <v>0</v>
      </c>
      <c r="V859">
        <v>37.457474446755676</v>
      </c>
    </row>
    <row r="860" spans="1:22" x14ac:dyDescent="0.35">
      <c r="A860" t="s">
        <v>101</v>
      </c>
      <c r="B860" t="s">
        <v>8</v>
      </c>
      <c r="C860" t="s">
        <v>9</v>
      </c>
      <c r="D860">
        <v>0.62</v>
      </c>
      <c r="E860" t="s">
        <v>38</v>
      </c>
      <c r="F860" t="s">
        <v>39</v>
      </c>
      <c r="G860">
        <v>0</v>
      </c>
      <c r="H860">
        <v>81.775599999999997</v>
      </c>
      <c r="I860" t="s">
        <v>51</v>
      </c>
      <c r="J860" s="1">
        <v>45342</v>
      </c>
      <c r="K860">
        <v>12.617648555093901</v>
      </c>
      <c r="L860" s="1">
        <v>45364</v>
      </c>
      <c r="M860" s="1">
        <v>45367</v>
      </c>
      <c r="N860">
        <v>151.41178266112601</v>
      </c>
      <c r="O860">
        <v>3</v>
      </c>
      <c r="P860" t="str">
        <f>IF(Table1[[#This Row],[Delivery Delay]]&gt;0,"Late","On Time")</f>
        <v>Late</v>
      </c>
      <c r="Q860">
        <v>12.617648555093835</v>
      </c>
      <c r="R860">
        <v>0.32122324370442412</v>
      </c>
      <c r="S860">
        <v>6.6045058213078118E-3</v>
      </c>
      <c r="T860">
        <v>0.62</v>
      </c>
      <c r="U860">
        <v>1</v>
      </c>
      <c r="V860">
        <v>45.22260004872772</v>
      </c>
    </row>
    <row r="861" spans="1:22" x14ac:dyDescent="0.35">
      <c r="A861" t="s">
        <v>102</v>
      </c>
      <c r="B861" t="s">
        <v>13</v>
      </c>
      <c r="C861" t="s">
        <v>9</v>
      </c>
      <c r="D861">
        <v>0.88</v>
      </c>
      <c r="E861" t="s">
        <v>37</v>
      </c>
      <c r="F861" t="s">
        <v>34</v>
      </c>
      <c r="G861">
        <v>1</v>
      </c>
      <c r="H861">
        <v>138.35159999999999</v>
      </c>
      <c r="I861" t="s">
        <v>47</v>
      </c>
      <c r="J861" s="1">
        <v>44393</v>
      </c>
      <c r="K861">
        <v>35.749303919418502</v>
      </c>
      <c r="L861" s="1">
        <v>44407</v>
      </c>
      <c r="M861" s="1">
        <v>44409</v>
      </c>
      <c r="N861">
        <v>428.99164703302199</v>
      </c>
      <c r="O861">
        <v>2</v>
      </c>
      <c r="P861" t="str">
        <f>IF(Table1[[#This Row],[Delivery Delay]]&gt;0,"Late","On Time")</f>
        <v>Late</v>
      </c>
      <c r="Q861">
        <v>35.749303919418502</v>
      </c>
      <c r="R861">
        <v>0.23100504314827094</v>
      </c>
      <c r="S861">
        <v>2.3310477183324367E-3</v>
      </c>
      <c r="T861">
        <v>0.88</v>
      </c>
      <c r="U861">
        <v>0</v>
      </c>
      <c r="V861">
        <v>31.090032294515396</v>
      </c>
    </row>
    <row r="862" spans="1:22" x14ac:dyDescent="0.35">
      <c r="A862" t="s">
        <v>99</v>
      </c>
      <c r="B862" t="s">
        <v>8</v>
      </c>
      <c r="C862" t="s">
        <v>7</v>
      </c>
      <c r="D862">
        <v>0.96</v>
      </c>
      <c r="E862" t="s">
        <v>37</v>
      </c>
      <c r="F862" t="s">
        <v>34</v>
      </c>
      <c r="G862">
        <v>1</v>
      </c>
      <c r="H862">
        <v>60.724800000000002</v>
      </c>
      <c r="I862" t="s">
        <v>48</v>
      </c>
      <c r="J862" s="1">
        <v>45163</v>
      </c>
      <c r="K862">
        <v>41.619782016016899</v>
      </c>
      <c r="L862" s="1">
        <v>45184</v>
      </c>
      <c r="M862" s="1">
        <v>45189</v>
      </c>
      <c r="N862">
        <v>374.578038144152</v>
      </c>
      <c r="O862">
        <v>5</v>
      </c>
      <c r="P862" t="str">
        <f>IF(Table1[[#This Row],[Delivery Delay]]&gt;0,"Late","On Time")</f>
        <v>Late</v>
      </c>
      <c r="Q862">
        <v>41.619782016016892</v>
      </c>
      <c r="R862">
        <v>7.2818076641922636E-2</v>
      </c>
      <c r="S862">
        <v>2.6696706645015895E-3</v>
      </c>
      <c r="T862">
        <v>0.96</v>
      </c>
      <c r="U862">
        <v>0</v>
      </c>
      <c r="V862">
        <v>30.336451652773498</v>
      </c>
    </row>
    <row r="863" spans="1:22" x14ac:dyDescent="0.35">
      <c r="A863" t="s">
        <v>103</v>
      </c>
      <c r="B863" t="s">
        <v>15</v>
      </c>
      <c r="C863" t="s">
        <v>9</v>
      </c>
      <c r="D863">
        <v>0.67</v>
      </c>
      <c r="E863" t="s">
        <v>37</v>
      </c>
      <c r="F863" t="s">
        <v>34</v>
      </c>
      <c r="G863">
        <v>1</v>
      </c>
      <c r="H863">
        <v>489.29880000000003</v>
      </c>
      <c r="I863" t="s">
        <v>46</v>
      </c>
      <c r="J863" s="1">
        <v>45017</v>
      </c>
      <c r="K863">
        <v>55.633737442329497</v>
      </c>
      <c r="L863" s="1">
        <v>45035</v>
      </c>
      <c r="M863" s="1">
        <v>45040</v>
      </c>
      <c r="N863">
        <v>500.703636980966</v>
      </c>
      <c r="O863">
        <v>5</v>
      </c>
      <c r="P863" t="str">
        <f>IF(Table1[[#This Row],[Delivery Delay]]&gt;0,"Late","On Time")</f>
        <v>Late</v>
      </c>
      <c r="Q863">
        <v>55.633737442329554</v>
      </c>
      <c r="R863">
        <v>0.59590733782585004</v>
      </c>
      <c r="S863">
        <v>1.99718940734999E-3</v>
      </c>
      <c r="T863">
        <v>0.67</v>
      </c>
      <c r="U863">
        <v>0</v>
      </c>
      <c r="V863">
        <v>32.078062438737497</v>
      </c>
    </row>
    <row r="864" spans="1:22" x14ac:dyDescent="0.35">
      <c r="A864" t="s">
        <v>104</v>
      </c>
      <c r="B864" t="s">
        <v>12</v>
      </c>
      <c r="C864" t="s">
        <v>9</v>
      </c>
      <c r="D864">
        <v>0.82</v>
      </c>
      <c r="E864" t="s">
        <v>37</v>
      </c>
      <c r="F864" t="s">
        <v>34</v>
      </c>
      <c r="G864">
        <v>1</v>
      </c>
      <c r="H864">
        <v>0.72700000000008902</v>
      </c>
      <c r="I864" t="s">
        <v>46</v>
      </c>
      <c r="J864" s="1">
        <v>44526</v>
      </c>
      <c r="K864">
        <v>27.662093615131401</v>
      </c>
      <c r="L864" s="1">
        <v>44540</v>
      </c>
      <c r="M864" s="1">
        <v>44542</v>
      </c>
      <c r="N864">
        <v>276.62093615131403</v>
      </c>
      <c r="O864">
        <v>2</v>
      </c>
      <c r="P864" t="str">
        <f>IF(Table1[[#This Row],[Delivery Delay]]&gt;0,"Late","On Time")</f>
        <v>Late</v>
      </c>
      <c r="Q864">
        <v>27.662093615131404</v>
      </c>
      <c r="R864">
        <v>1.0674270310113087E-3</v>
      </c>
      <c r="S864">
        <v>3.6150553675119929E-3</v>
      </c>
      <c r="T864">
        <v>0.82</v>
      </c>
      <c r="U864">
        <v>0</v>
      </c>
      <c r="V864">
        <v>24.729800201645581</v>
      </c>
    </row>
    <row r="865" spans="1:22" x14ac:dyDescent="0.35">
      <c r="A865" t="s">
        <v>105</v>
      </c>
      <c r="B865" t="s">
        <v>15</v>
      </c>
      <c r="C865" t="s">
        <v>9</v>
      </c>
      <c r="D865">
        <v>0.96</v>
      </c>
      <c r="E865" t="s">
        <v>35</v>
      </c>
      <c r="F865" t="s">
        <v>39</v>
      </c>
      <c r="G865">
        <v>0</v>
      </c>
      <c r="H865">
        <v>-12.6855999999999</v>
      </c>
      <c r="I865" t="s">
        <v>51</v>
      </c>
      <c r="J865" s="1">
        <v>44540</v>
      </c>
      <c r="K865">
        <v>55.903188132338698</v>
      </c>
      <c r="L865" s="1">
        <v>44560</v>
      </c>
      <c r="M865" s="1">
        <v>44557</v>
      </c>
      <c r="N865">
        <v>559.03188132338698</v>
      </c>
      <c r="O865">
        <v>-3</v>
      </c>
      <c r="P865" t="str">
        <f>IF(Table1[[#This Row],[Delivery Delay]]&gt;0,"Late","On Time")</f>
        <v>On Time</v>
      </c>
      <c r="Q865">
        <v>55.903188132338698</v>
      </c>
      <c r="R865">
        <v>0</v>
      </c>
      <c r="S865">
        <v>1.7888067450334254E-3</v>
      </c>
      <c r="T865">
        <v>0.96</v>
      </c>
      <c r="U865">
        <v>1</v>
      </c>
      <c r="V865">
        <v>48.853664202350998</v>
      </c>
    </row>
    <row r="866" spans="1:22" x14ac:dyDescent="0.35">
      <c r="A866" t="s">
        <v>106</v>
      </c>
      <c r="B866" t="s">
        <v>15</v>
      </c>
      <c r="C866" t="s">
        <v>11</v>
      </c>
      <c r="D866">
        <v>0.61</v>
      </c>
      <c r="E866" t="s">
        <v>37</v>
      </c>
      <c r="F866" t="s">
        <v>34</v>
      </c>
      <c r="G866">
        <v>1</v>
      </c>
      <c r="H866">
        <v>303.27600000000001</v>
      </c>
      <c r="I866" t="s">
        <v>46</v>
      </c>
      <c r="J866" s="1">
        <v>44753</v>
      </c>
      <c r="K866">
        <v>35.951776809680403</v>
      </c>
      <c r="L866" s="1">
        <v>44770</v>
      </c>
      <c r="M866" s="1">
        <v>44770</v>
      </c>
      <c r="N866">
        <v>359.51776809680399</v>
      </c>
      <c r="O866">
        <v>0</v>
      </c>
      <c r="P866" t="str">
        <f>IF(Table1[[#This Row],[Delivery Delay]]&gt;0,"Late","On Time")</f>
        <v>On Time</v>
      </c>
      <c r="Q866">
        <v>35.951776809680396</v>
      </c>
      <c r="R866">
        <v>0.65964555111841938</v>
      </c>
      <c r="S866">
        <v>2.7815036939446603E-3</v>
      </c>
      <c r="T866">
        <v>0.61</v>
      </c>
      <c r="U866">
        <v>0</v>
      </c>
      <c r="V866">
        <v>31.576356133186728</v>
      </c>
    </row>
    <row r="867" spans="1:22" x14ac:dyDescent="0.35">
      <c r="A867" t="s">
        <v>108</v>
      </c>
      <c r="B867" t="s">
        <v>8</v>
      </c>
      <c r="C867" t="s">
        <v>5</v>
      </c>
      <c r="D867">
        <v>0.87</v>
      </c>
      <c r="E867" t="s">
        <v>36</v>
      </c>
      <c r="F867" t="s">
        <v>34</v>
      </c>
      <c r="G867">
        <v>1</v>
      </c>
      <c r="H867">
        <v>108.90900000000001</v>
      </c>
      <c r="I867" t="s">
        <v>45</v>
      </c>
      <c r="J867" s="1">
        <v>44681</v>
      </c>
      <c r="K867">
        <v>49.487760076507897</v>
      </c>
      <c r="L867" s="1">
        <v>44695</v>
      </c>
      <c r="M867" s="1">
        <v>44695</v>
      </c>
      <c r="N867">
        <v>494.87760076507902</v>
      </c>
      <c r="O867">
        <v>0</v>
      </c>
      <c r="P867" t="str">
        <f>IF(Table1[[#This Row],[Delivery Delay]]&gt;0,"Late","On Time")</f>
        <v>On Time</v>
      </c>
      <c r="Q867">
        <v>49.487760076507904</v>
      </c>
      <c r="R867">
        <v>0.12241656634733084</v>
      </c>
      <c r="S867">
        <v>2.0207016814945827E-3</v>
      </c>
      <c r="T867">
        <v>0.87</v>
      </c>
      <c r="U867">
        <v>0</v>
      </c>
      <c r="V867">
        <v>28.608952377391457</v>
      </c>
    </row>
    <row r="868" spans="1:22" x14ac:dyDescent="0.35">
      <c r="A868" t="s">
        <v>107</v>
      </c>
      <c r="B868" t="s">
        <v>13</v>
      </c>
      <c r="C868" t="s">
        <v>7</v>
      </c>
      <c r="D868">
        <v>0.72</v>
      </c>
      <c r="E868" t="s">
        <v>37</v>
      </c>
      <c r="F868" t="s">
        <v>34</v>
      </c>
      <c r="G868">
        <v>1</v>
      </c>
      <c r="H868">
        <v>53.919899999999998</v>
      </c>
      <c r="I868" t="s">
        <v>46</v>
      </c>
      <c r="J868" s="1">
        <v>44471</v>
      </c>
      <c r="K868">
        <v>65.459647971679303</v>
      </c>
      <c r="L868" s="1">
        <v>44488</v>
      </c>
      <c r="M868" s="1">
        <v>44488</v>
      </c>
      <c r="N868">
        <v>589.13683174511402</v>
      </c>
      <c r="O868">
        <v>0</v>
      </c>
      <c r="P868" t="str">
        <f>IF(Table1[[#This Row],[Delivery Delay]]&gt;0,"Late","On Time")</f>
        <v>On Time</v>
      </c>
      <c r="Q868">
        <v>65.459647971679331</v>
      </c>
      <c r="R868">
        <v>0.30281888285908282</v>
      </c>
      <c r="S868">
        <v>1.6973985432855148E-3</v>
      </c>
      <c r="T868">
        <v>0.72</v>
      </c>
      <c r="U868">
        <v>0</v>
      </c>
      <c r="V868">
        <v>27.707299613480224</v>
      </c>
    </row>
    <row r="869" spans="1:22" x14ac:dyDescent="0.35">
      <c r="A869" t="s">
        <v>100</v>
      </c>
      <c r="B869" t="s">
        <v>13</v>
      </c>
      <c r="C869" t="s">
        <v>7</v>
      </c>
      <c r="D869">
        <v>0.96</v>
      </c>
      <c r="E869" t="s">
        <v>36</v>
      </c>
      <c r="F869" t="s">
        <v>34</v>
      </c>
      <c r="G869">
        <v>1</v>
      </c>
      <c r="H869">
        <v>113.1508</v>
      </c>
      <c r="I869" t="s">
        <v>47</v>
      </c>
      <c r="J869" s="1">
        <v>45391</v>
      </c>
      <c r="K869">
        <v>78.327091729182797</v>
      </c>
      <c r="L869" s="1">
        <v>45406</v>
      </c>
      <c r="M869" s="1">
        <v>45411</v>
      </c>
      <c r="N869">
        <v>1018.25219247937</v>
      </c>
      <c r="O869">
        <v>5</v>
      </c>
      <c r="P869" t="str">
        <f>IF(Table1[[#This Row],[Delivery Delay]]&gt;0,"Late","On Time")</f>
        <v>Late</v>
      </c>
      <c r="Q869">
        <v>78.327091729182314</v>
      </c>
      <c r="R869">
        <v>0.37869572958739028</v>
      </c>
      <c r="S869">
        <v>9.8207497846390375E-4</v>
      </c>
      <c r="T869">
        <v>0.96</v>
      </c>
      <c r="U869">
        <v>0</v>
      </c>
      <c r="V869">
        <v>36.403376841101718</v>
      </c>
    </row>
    <row r="870" spans="1:22" x14ac:dyDescent="0.35">
      <c r="A870" t="s">
        <v>101</v>
      </c>
      <c r="B870" t="s">
        <v>6</v>
      </c>
      <c r="C870" t="s">
        <v>9</v>
      </c>
      <c r="D870">
        <v>0.98</v>
      </c>
      <c r="E870" t="s">
        <v>35</v>
      </c>
      <c r="F870" t="s">
        <v>39</v>
      </c>
      <c r="G870">
        <v>0</v>
      </c>
      <c r="H870">
        <v>122.901</v>
      </c>
      <c r="I870" t="s">
        <v>47</v>
      </c>
      <c r="J870" s="1">
        <v>44248</v>
      </c>
      <c r="K870">
        <v>45.529216503474203</v>
      </c>
      <c r="L870" s="1">
        <v>44264</v>
      </c>
      <c r="M870" s="1">
        <v>44268</v>
      </c>
      <c r="N870">
        <v>546.35059804168998</v>
      </c>
      <c r="O870">
        <v>4</v>
      </c>
      <c r="P870" t="str">
        <f>IF(Table1[[#This Row],[Delivery Delay]]&gt;0,"Late","On Time")</f>
        <v>Late</v>
      </c>
      <c r="Q870">
        <v>45.529216503474167</v>
      </c>
      <c r="R870">
        <v>0.32343985620333648</v>
      </c>
      <c r="S870">
        <v>1.8303265404748285E-3</v>
      </c>
      <c r="T870">
        <v>0.98</v>
      </c>
      <c r="U870">
        <v>1</v>
      </c>
      <c r="V870">
        <v>55.923706920280971</v>
      </c>
    </row>
    <row r="871" spans="1:22" x14ac:dyDescent="0.35">
      <c r="A871" t="s">
        <v>102</v>
      </c>
      <c r="B871" t="s">
        <v>4</v>
      </c>
      <c r="C871" t="s">
        <v>9</v>
      </c>
      <c r="D871">
        <v>0.97</v>
      </c>
      <c r="E871" t="s">
        <v>35</v>
      </c>
      <c r="F871" t="s">
        <v>34</v>
      </c>
      <c r="G871">
        <v>1</v>
      </c>
      <c r="H871">
        <v>69.583500000000001</v>
      </c>
      <c r="I871" t="s">
        <v>50</v>
      </c>
      <c r="J871" s="1">
        <v>44634</v>
      </c>
      <c r="K871">
        <v>67.327530985860804</v>
      </c>
      <c r="L871" s="1">
        <v>44649</v>
      </c>
      <c r="M871" s="1">
        <v>44650</v>
      </c>
      <c r="N871">
        <v>942.58543380205197</v>
      </c>
      <c r="O871">
        <v>1</v>
      </c>
      <c r="P871" t="str">
        <f>IF(Table1[[#This Row],[Delivery Delay]]&gt;0,"Late","On Time")</f>
        <v>Late</v>
      </c>
      <c r="Q871">
        <v>67.327530985860861</v>
      </c>
      <c r="R871">
        <v>0.57137050585670468</v>
      </c>
      <c r="S871">
        <v>1.0609117902091467E-3</v>
      </c>
      <c r="T871">
        <v>0.97</v>
      </c>
      <c r="U871">
        <v>0</v>
      </c>
      <c r="V871">
        <v>40.559237470840372</v>
      </c>
    </row>
    <row r="872" spans="1:22" x14ac:dyDescent="0.35">
      <c r="A872" t="s">
        <v>99</v>
      </c>
      <c r="B872" t="s">
        <v>12</v>
      </c>
      <c r="C872" t="s">
        <v>7</v>
      </c>
      <c r="D872">
        <v>0.78</v>
      </c>
      <c r="E872" t="s">
        <v>38</v>
      </c>
      <c r="F872" t="s">
        <v>39</v>
      </c>
      <c r="G872">
        <v>0</v>
      </c>
      <c r="H872">
        <v>242.00399999999999</v>
      </c>
      <c r="I872" t="s">
        <v>47</v>
      </c>
      <c r="J872" s="1">
        <v>44913</v>
      </c>
      <c r="K872">
        <v>9.3788031256260993</v>
      </c>
      <c r="L872" s="1">
        <v>44925</v>
      </c>
      <c r="M872" s="1">
        <v>44928</v>
      </c>
      <c r="N872">
        <v>103.166834381887</v>
      </c>
      <c r="O872">
        <v>3</v>
      </c>
      <c r="P872" t="str">
        <f>IF(Table1[[#This Row],[Delivery Delay]]&gt;0,"Late","On Time")</f>
        <v>Late</v>
      </c>
      <c r="Q872">
        <v>9.3788031256260904</v>
      </c>
      <c r="R872">
        <v>0.37630616509926851</v>
      </c>
      <c r="S872">
        <v>9.6930375540879247E-3</v>
      </c>
      <c r="T872">
        <v>0.78</v>
      </c>
      <c r="U872">
        <v>1</v>
      </c>
      <c r="V872">
        <v>51.216914428608007</v>
      </c>
    </row>
    <row r="873" spans="1:22" x14ac:dyDescent="0.35">
      <c r="A873" t="s">
        <v>103</v>
      </c>
      <c r="B873" t="s">
        <v>8</v>
      </c>
      <c r="C873" t="s">
        <v>9</v>
      </c>
      <c r="D873">
        <v>0.94</v>
      </c>
      <c r="E873" t="s">
        <v>36</v>
      </c>
      <c r="F873" t="s">
        <v>34</v>
      </c>
      <c r="G873">
        <v>1</v>
      </c>
      <c r="H873">
        <v>282.92519999999899</v>
      </c>
      <c r="I873" t="s">
        <v>50</v>
      </c>
      <c r="J873" s="1">
        <v>45240</v>
      </c>
      <c r="K873">
        <v>73.763067633153497</v>
      </c>
      <c r="L873" s="1">
        <v>45256</v>
      </c>
      <c r="M873" s="1">
        <v>45257</v>
      </c>
      <c r="N873">
        <v>663.86760869838099</v>
      </c>
      <c r="O873">
        <v>1</v>
      </c>
      <c r="P873" t="str">
        <f>IF(Table1[[#This Row],[Delivery Delay]]&gt;0,"Late","On Time")</f>
        <v>Late</v>
      </c>
      <c r="Q873">
        <v>73.76306763315344</v>
      </c>
      <c r="R873">
        <v>0.8702573813030362</v>
      </c>
      <c r="S873">
        <v>1.5063244341152002E-3</v>
      </c>
      <c r="T873">
        <v>0.94</v>
      </c>
      <c r="U873">
        <v>0</v>
      </c>
      <c r="V873">
        <v>45.650337359084176</v>
      </c>
    </row>
    <row r="874" spans="1:22" x14ac:dyDescent="0.35">
      <c r="A874" t="s">
        <v>104</v>
      </c>
      <c r="B874" t="s">
        <v>6</v>
      </c>
      <c r="C874" t="s">
        <v>11</v>
      </c>
      <c r="D874">
        <v>0.93</v>
      </c>
      <c r="E874" t="s">
        <v>35</v>
      </c>
      <c r="F874" t="s">
        <v>34</v>
      </c>
      <c r="G874">
        <v>1</v>
      </c>
      <c r="H874">
        <v>340.7</v>
      </c>
      <c r="I874" t="s">
        <v>47</v>
      </c>
      <c r="J874" s="1">
        <v>44835</v>
      </c>
      <c r="K874">
        <v>13.750742578381001</v>
      </c>
      <c r="L874" s="1">
        <v>44858</v>
      </c>
      <c r="M874" s="1">
        <v>44863</v>
      </c>
      <c r="N874">
        <v>151.25816836219201</v>
      </c>
      <c r="O874">
        <v>5</v>
      </c>
      <c r="P874" t="str">
        <f>IF(Table1[[#This Row],[Delivery Delay]]&gt;0,"Late","On Time")</f>
        <v>Late</v>
      </c>
      <c r="Q874">
        <v>13.750742578381091</v>
      </c>
      <c r="R874">
        <v>0.41241980389783317</v>
      </c>
      <c r="S874">
        <v>6.6112132047339844E-3</v>
      </c>
      <c r="T874">
        <v>0.93</v>
      </c>
      <c r="U874">
        <v>0</v>
      </c>
      <c r="V874">
        <v>36.346732474098687</v>
      </c>
    </row>
    <row r="875" spans="1:22" x14ac:dyDescent="0.35">
      <c r="A875" t="s">
        <v>105</v>
      </c>
      <c r="B875" t="s">
        <v>10</v>
      </c>
      <c r="C875" t="s">
        <v>7</v>
      </c>
      <c r="D875">
        <v>0.72</v>
      </c>
      <c r="E875" t="s">
        <v>38</v>
      </c>
      <c r="F875" t="s">
        <v>34</v>
      </c>
      <c r="G875">
        <v>1</v>
      </c>
      <c r="H875">
        <v>-92.055000000000106</v>
      </c>
      <c r="I875" t="s">
        <v>45</v>
      </c>
      <c r="J875" s="1">
        <v>45209</v>
      </c>
      <c r="K875">
        <v>5.75985235244341</v>
      </c>
      <c r="L875" s="1">
        <v>45226</v>
      </c>
      <c r="M875" s="1">
        <v>45224</v>
      </c>
      <c r="N875">
        <v>57.5985235244341</v>
      </c>
      <c r="O875">
        <v>-2</v>
      </c>
      <c r="P875" t="str">
        <f>IF(Table1[[#This Row],[Delivery Delay]]&gt;0,"Late","On Time")</f>
        <v>On Time</v>
      </c>
      <c r="Q875">
        <v>5.75985235244341</v>
      </c>
      <c r="R875">
        <v>0</v>
      </c>
      <c r="S875">
        <v>1.7361556144330437E-2</v>
      </c>
      <c r="T875">
        <v>0.72</v>
      </c>
      <c r="U875">
        <v>0</v>
      </c>
      <c r="V875">
        <v>22.120846684329912</v>
      </c>
    </row>
    <row r="876" spans="1:22" x14ac:dyDescent="0.35">
      <c r="A876" t="s">
        <v>106</v>
      </c>
      <c r="B876" t="s">
        <v>4</v>
      </c>
      <c r="C876" t="s">
        <v>9</v>
      </c>
      <c r="D876">
        <v>0.92</v>
      </c>
      <c r="E876" t="s">
        <v>37</v>
      </c>
      <c r="F876" t="s">
        <v>34</v>
      </c>
      <c r="G876">
        <v>1</v>
      </c>
      <c r="H876">
        <v>382.51359999999897</v>
      </c>
      <c r="I876" t="s">
        <v>50</v>
      </c>
      <c r="J876" s="1">
        <v>45160</v>
      </c>
      <c r="K876">
        <v>58.9766026043376</v>
      </c>
      <c r="L876" s="1">
        <v>45179</v>
      </c>
      <c r="M876" s="1">
        <v>45184</v>
      </c>
      <c r="N876">
        <v>1002.60224427374</v>
      </c>
      <c r="O876">
        <v>5</v>
      </c>
      <c r="P876" t="str">
        <f>IF(Table1[[#This Row],[Delivery Delay]]&gt;0,"Late","On Time")</f>
        <v>Late</v>
      </c>
      <c r="Q876">
        <v>58.976602604337643</v>
      </c>
      <c r="R876">
        <v>0.58603589690792335</v>
      </c>
      <c r="S876">
        <v>9.974045098257037E-4</v>
      </c>
      <c r="T876">
        <v>0.92</v>
      </c>
      <c r="U876">
        <v>0</v>
      </c>
      <c r="V876">
        <v>39.350640073453235</v>
      </c>
    </row>
    <row r="877" spans="1:22" x14ac:dyDescent="0.35">
      <c r="A877" t="s">
        <v>108</v>
      </c>
      <c r="B877" t="s">
        <v>4</v>
      </c>
      <c r="C877" t="s">
        <v>7</v>
      </c>
      <c r="D877">
        <v>0.61</v>
      </c>
      <c r="E877" t="s">
        <v>36</v>
      </c>
      <c r="F877" t="s">
        <v>34</v>
      </c>
      <c r="G877">
        <v>1</v>
      </c>
      <c r="H877">
        <v>-49.327999999999903</v>
      </c>
      <c r="I877" t="s">
        <v>49</v>
      </c>
      <c r="J877" s="1">
        <v>45233</v>
      </c>
      <c r="K877">
        <v>5.4365026078019802</v>
      </c>
      <c r="L877" s="1">
        <v>45253</v>
      </c>
      <c r="M877" s="1">
        <v>45252</v>
      </c>
      <c r="N877">
        <v>65.238031293623806</v>
      </c>
      <c r="O877">
        <v>-1</v>
      </c>
      <c r="P877" t="str">
        <f>IF(Table1[[#This Row],[Delivery Delay]]&gt;0,"Late","On Time")</f>
        <v>On Time</v>
      </c>
      <c r="Q877">
        <v>5.4365026078019838</v>
      </c>
      <c r="R877">
        <v>0</v>
      </c>
      <c r="S877">
        <v>1.5328482177814238E-2</v>
      </c>
      <c r="T877">
        <v>0.61</v>
      </c>
      <c r="U877">
        <v>0</v>
      </c>
      <c r="V877">
        <v>18.759854465334428</v>
      </c>
    </row>
    <row r="878" spans="1:22" x14ac:dyDescent="0.35">
      <c r="A878" t="s">
        <v>101</v>
      </c>
      <c r="B878" t="s">
        <v>8</v>
      </c>
      <c r="C878" t="s">
        <v>5</v>
      </c>
      <c r="D878">
        <v>0.83</v>
      </c>
      <c r="E878" t="s">
        <v>38</v>
      </c>
      <c r="F878" t="s">
        <v>34</v>
      </c>
      <c r="G878">
        <v>1</v>
      </c>
      <c r="H878">
        <v>222.38640000000001</v>
      </c>
      <c r="I878" t="s">
        <v>48</v>
      </c>
      <c r="J878" s="1">
        <v>45105</v>
      </c>
      <c r="K878">
        <v>67.533400770013401</v>
      </c>
      <c r="L878" s="1">
        <v>45123</v>
      </c>
      <c r="M878" s="1">
        <v>45127</v>
      </c>
      <c r="N878">
        <v>472.73380539009401</v>
      </c>
      <c r="O878">
        <v>4</v>
      </c>
      <c r="P878" t="str">
        <f>IF(Table1[[#This Row],[Delivery Delay]]&gt;0,"Late","On Time")</f>
        <v>Late</v>
      </c>
      <c r="Q878">
        <v>67.533400770013429</v>
      </c>
      <c r="R878">
        <v>0.73994032202681514</v>
      </c>
      <c r="S878">
        <v>2.1153553830888243E-3</v>
      </c>
      <c r="T878">
        <v>0.83</v>
      </c>
      <c r="U878">
        <v>0</v>
      </c>
      <c r="V878">
        <v>39.762267102028964</v>
      </c>
    </row>
    <row r="879" spans="1:22" x14ac:dyDescent="0.35">
      <c r="A879" t="s">
        <v>102</v>
      </c>
      <c r="B879" t="s">
        <v>14</v>
      </c>
      <c r="C879" t="s">
        <v>9</v>
      </c>
      <c r="D879">
        <v>0.69</v>
      </c>
      <c r="E879" t="s">
        <v>37</v>
      </c>
      <c r="F879" t="s">
        <v>34</v>
      </c>
      <c r="G879">
        <v>1</v>
      </c>
      <c r="H879">
        <v>54.904400000000003</v>
      </c>
      <c r="I879" t="s">
        <v>51</v>
      </c>
      <c r="J879" s="1">
        <v>44261</v>
      </c>
      <c r="K879">
        <v>67.912938778517898</v>
      </c>
      <c r="L879" s="1">
        <v>44283</v>
      </c>
      <c r="M879" s="1">
        <v>44280</v>
      </c>
      <c r="N879">
        <v>611.21644900666104</v>
      </c>
      <c r="O879">
        <v>-3</v>
      </c>
      <c r="P879" t="str">
        <f>IF(Table1[[#This Row],[Delivery Delay]]&gt;0,"Late","On Time")</f>
        <v>On Time</v>
      </c>
      <c r="Q879">
        <v>67.912938778517898</v>
      </c>
      <c r="R879">
        <v>0.17598444024765342</v>
      </c>
      <c r="S879">
        <v>1.6360816231716009E-3</v>
      </c>
      <c r="T879">
        <v>0.69</v>
      </c>
      <c r="U879">
        <v>0</v>
      </c>
      <c r="V879">
        <v>24.268771253648218</v>
      </c>
    </row>
    <row r="880" spans="1:22" x14ac:dyDescent="0.35">
      <c r="A880" t="s">
        <v>99</v>
      </c>
      <c r="B880" t="s">
        <v>12</v>
      </c>
      <c r="C880" t="s">
        <v>7</v>
      </c>
      <c r="D880">
        <v>0.65</v>
      </c>
      <c r="E880" t="s">
        <v>37</v>
      </c>
      <c r="F880" t="s">
        <v>39</v>
      </c>
      <c r="G880">
        <v>0</v>
      </c>
      <c r="H880">
        <v>130.77760000000001</v>
      </c>
      <c r="I880" t="s">
        <v>47</v>
      </c>
      <c r="J880" s="1">
        <v>45088</v>
      </c>
      <c r="K880">
        <v>3.6777124452685701</v>
      </c>
      <c r="L880" s="1">
        <v>45105</v>
      </c>
      <c r="M880" s="1">
        <v>45109</v>
      </c>
      <c r="N880">
        <v>47.810261788491403</v>
      </c>
      <c r="O880">
        <v>4</v>
      </c>
      <c r="P880" t="str">
        <f>IF(Table1[[#This Row],[Delivery Delay]]&gt;0,"Late","On Time")</f>
        <v>Late</v>
      </c>
      <c r="Q880">
        <v>3.6777124452685692</v>
      </c>
      <c r="R880">
        <v>0.28442427711671397</v>
      </c>
      <c r="S880">
        <v>2.0916011805664571E-2</v>
      </c>
      <c r="T880">
        <v>0.65</v>
      </c>
      <c r="U880">
        <v>1</v>
      </c>
      <c r="V880">
        <v>45.815965896504217</v>
      </c>
    </row>
    <row r="881" spans="1:22" x14ac:dyDescent="0.35">
      <c r="A881" t="s">
        <v>103</v>
      </c>
      <c r="B881" t="s">
        <v>4</v>
      </c>
      <c r="C881" t="s">
        <v>9</v>
      </c>
      <c r="D881">
        <v>0.63</v>
      </c>
      <c r="E881" t="s">
        <v>37</v>
      </c>
      <c r="F881" t="s">
        <v>34</v>
      </c>
      <c r="G881">
        <v>1</v>
      </c>
      <c r="H881">
        <v>39.306600000000003</v>
      </c>
      <c r="I881" t="s">
        <v>46</v>
      </c>
      <c r="J881" s="1">
        <v>45216</v>
      </c>
      <c r="K881">
        <v>30.891335145756901</v>
      </c>
      <c r="L881" s="1">
        <v>45228</v>
      </c>
      <c r="M881" s="1">
        <v>45233</v>
      </c>
      <c r="N881">
        <v>339.80468660332599</v>
      </c>
      <c r="O881">
        <v>5</v>
      </c>
      <c r="P881" t="str">
        <f>IF(Table1[[#This Row],[Delivery Delay]]&gt;0,"Late","On Time")</f>
        <v>Late</v>
      </c>
      <c r="Q881">
        <v>30.891335145756909</v>
      </c>
      <c r="R881">
        <v>7.7412287698476009E-2</v>
      </c>
      <c r="S881">
        <v>2.9428670039720753E-3</v>
      </c>
      <c r="T881">
        <v>0.63</v>
      </c>
      <c r="U881">
        <v>0</v>
      </c>
      <c r="V881">
        <v>20.536531764088682</v>
      </c>
    </row>
    <row r="882" spans="1:22" x14ac:dyDescent="0.35">
      <c r="A882" t="s">
        <v>104</v>
      </c>
      <c r="B882" t="s">
        <v>8</v>
      </c>
      <c r="C882" t="s">
        <v>9</v>
      </c>
      <c r="D882">
        <v>0.87</v>
      </c>
      <c r="E882" t="s">
        <v>35</v>
      </c>
      <c r="F882" t="s">
        <v>34</v>
      </c>
      <c r="G882">
        <v>1</v>
      </c>
      <c r="H882">
        <v>304.375</v>
      </c>
      <c r="I882" t="s">
        <v>47</v>
      </c>
      <c r="J882" s="1">
        <v>44996</v>
      </c>
      <c r="K882">
        <v>47.459969079836199</v>
      </c>
      <c r="L882" s="1">
        <v>45007</v>
      </c>
      <c r="M882" s="1">
        <v>45009</v>
      </c>
      <c r="N882">
        <v>474.59969079836202</v>
      </c>
      <c r="O882">
        <v>2</v>
      </c>
      <c r="P882" t="str">
        <f>IF(Table1[[#This Row],[Delivery Delay]]&gt;0,"Late","On Time")</f>
        <v>Late</v>
      </c>
      <c r="Q882">
        <v>47.459969079836199</v>
      </c>
      <c r="R882">
        <v>0.52946292672320072</v>
      </c>
      <c r="S882">
        <v>2.1070388780022593E-3</v>
      </c>
      <c r="T882">
        <v>0.87</v>
      </c>
      <c r="U882">
        <v>0</v>
      </c>
      <c r="V882">
        <v>36.752469700804077</v>
      </c>
    </row>
    <row r="883" spans="1:22" x14ac:dyDescent="0.35">
      <c r="A883" t="s">
        <v>105</v>
      </c>
      <c r="B883" t="s">
        <v>8</v>
      </c>
      <c r="C883" t="s">
        <v>9</v>
      </c>
      <c r="D883">
        <v>0.73</v>
      </c>
      <c r="E883" t="s">
        <v>37</v>
      </c>
      <c r="F883" t="s">
        <v>34</v>
      </c>
      <c r="G883">
        <v>1</v>
      </c>
      <c r="H883">
        <v>-84.551000000000002</v>
      </c>
      <c r="I883" t="s">
        <v>46</v>
      </c>
      <c r="J883" s="1">
        <v>44346</v>
      </c>
      <c r="K883">
        <v>56.810195083492601</v>
      </c>
      <c r="L883" s="1">
        <v>44370</v>
      </c>
      <c r="M883" s="1">
        <v>44371</v>
      </c>
      <c r="N883">
        <v>1079.3937065863499</v>
      </c>
      <c r="O883">
        <v>1</v>
      </c>
      <c r="P883" t="str">
        <f>IF(Table1[[#This Row],[Delivery Delay]]&gt;0,"Late","On Time")</f>
        <v>Late</v>
      </c>
      <c r="Q883">
        <v>56.810195083492104</v>
      </c>
      <c r="R883">
        <v>0</v>
      </c>
      <c r="S883">
        <v>9.2644601677599405E-4</v>
      </c>
      <c r="T883">
        <v>0.73</v>
      </c>
      <c r="U883">
        <v>0</v>
      </c>
      <c r="V883">
        <v>21.927793380503282</v>
      </c>
    </row>
    <row r="884" spans="1:22" x14ac:dyDescent="0.35">
      <c r="A884" t="s">
        <v>106</v>
      </c>
      <c r="B884" t="s">
        <v>6</v>
      </c>
      <c r="C884" t="s">
        <v>7</v>
      </c>
      <c r="D884">
        <v>0.88</v>
      </c>
      <c r="E884" t="s">
        <v>35</v>
      </c>
      <c r="F884" t="s">
        <v>39</v>
      </c>
      <c r="G884">
        <v>0</v>
      </c>
      <c r="H884">
        <v>467.08</v>
      </c>
      <c r="I884" t="s">
        <v>48</v>
      </c>
      <c r="J884" s="1">
        <v>44983</v>
      </c>
      <c r="K884">
        <v>24.990370123793301</v>
      </c>
      <c r="L884" s="1">
        <v>44998</v>
      </c>
      <c r="M884" s="1">
        <v>44997</v>
      </c>
      <c r="N884">
        <v>374.85555185689998</v>
      </c>
      <c r="O884">
        <v>-1</v>
      </c>
      <c r="P884" t="str">
        <f>IF(Table1[[#This Row],[Delivery Delay]]&gt;0,"Late","On Time")</f>
        <v>On Time</v>
      </c>
      <c r="Q884">
        <v>24.990370123793333</v>
      </c>
      <c r="R884">
        <v>0.36482644421532789</v>
      </c>
      <c r="S884">
        <v>2.6676942492817796E-3</v>
      </c>
      <c r="T884">
        <v>0.88</v>
      </c>
      <c r="U884">
        <v>1</v>
      </c>
      <c r="V884">
        <v>53.776559711785012</v>
      </c>
    </row>
    <row r="885" spans="1:22" x14ac:dyDescent="0.35">
      <c r="A885" t="s">
        <v>108</v>
      </c>
      <c r="B885" t="s">
        <v>10</v>
      </c>
      <c r="C885" t="s">
        <v>5</v>
      </c>
      <c r="D885">
        <v>0.63</v>
      </c>
      <c r="E885" t="s">
        <v>38</v>
      </c>
      <c r="F885" t="s">
        <v>39</v>
      </c>
      <c r="G885">
        <v>0</v>
      </c>
      <c r="H885">
        <v>29.347200000000001</v>
      </c>
      <c r="I885" t="s">
        <v>48</v>
      </c>
      <c r="J885" s="1">
        <v>44623</v>
      </c>
      <c r="K885">
        <v>25.340063070892</v>
      </c>
      <c r="L885" s="1">
        <v>44647</v>
      </c>
      <c r="M885" s="1">
        <v>44648</v>
      </c>
      <c r="N885">
        <v>329.420819921597</v>
      </c>
      <c r="O885">
        <v>1</v>
      </c>
      <c r="P885" t="str">
        <f>IF(Table1[[#This Row],[Delivery Delay]]&gt;0,"Late","On Time")</f>
        <v>Late</v>
      </c>
      <c r="Q885">
        <v>25.340063070892079</v>
      </c>
      <c r="R885">
        <v>0.14727561786385315</v>
      </c>
      <c r="S885">
        <v>3.035630839113334E-3</v>
      </c>
      <c r="T885">
        <v>0.63</v>
      </c>
      <c r="U885">
        <v>1</v>
      </c>
      <c r="V885">
        <v>41.936581282450462</v>
      </c>
    </row>
    <row r="886" spans="1:22" x14ac:dyDescent="0.35">
      <c r="A886" t="s">
        <v>107</v>
      </c>
      <c r="B886" t="s">
        <v>14</v>
      </c>
      <c r="C886" t="s">
        <v>9</v>
      </c>
      <c r="D886">
        <v>0.72</v>
      </c>
      <c r="E886" t="s">
        <v>36</v>
      </c>
      <c r="F886" t="s">
        <v>34</v>
      </c>
      <c r="G886">
        <v>1</v>
      </c>
      <c r="H886">
        <v>714.38499999999999</v>
      </c>
      <c r="I886" t="s">
        <v>48</v>
      </c>
      <c r="J886" s="1">
        <v>44980</v>
      </c>
      <c r="K886">
        <v>79.338453578143501</v>
      </c>
      <c r="L886" s="1">
        <v>45001</v>
      </c>
      <c r="M886" s="1">
        <v>44999</v>
      </c>
      <c r="N886">
        <v>793.38453578143503</v>
      </c>
      <c r="O886">
        <v>-2</v>
      </c>
      <c r="P886" t="str">
        <f>IF(Table1[[#This Row],[Delivery Delay]]&gt;0,"Late","On Time")</f>
        <v>On Time</v>
      </c>
      <c r="Q886">
        <v>79.338453578143501</v>
      </c>
      <c r="R886">
        <v>0.66370760576203947</v>
      </c>
      <c r="S886">
        <v>1.2604228528541477E-3</v>
      </c>
      <c r="T886">
        <v>0.72</v>
      </c>
      <c r="U886">
        <v>0</v>
      </c>
      <c r="V886">
        <v>34.911964800826411</v>
      </c>
    </row>
    <row r="887" spans="1:22" x14ac:dyDescent="0.35">
      <c r="A887" t="s">
        <v>100</v>
      </c>
      <c r="B887" t="s">
        <v>12</v>
      </c>
      <c r="C887" t="s">
        <v>7</v>
      </c>
      <c r="D887">
        <v>0.81</v>
      </c>
      <c r="E887" t="s">
        <v>38</v>
      </c>
      <c r="F887" t="s">
        <v>34</v>
      </c>
      <c r="G887">
        <v>1</v>
      </c>
      <c r="H887">
        <v>689.77199999999903</v>
      </c>
      <c r="I887" t="s">
        <v>46</v>
      </c>
      <c r="J887" s="1">
        <v>45119</v>
      </c>
      <c r="K887">
        <v>67.910389886567003</v>
      </c>
      <c r="L887" s="1">
        <v>45135</v>
      </c>
      <c r="M887" s="1">
        <v>45133</v>
      </c>
      <c r="N887">
        <v>543.28311909253603</v>
      </c>
      <c r="O887">
        <v>-2</v>
      </c>
      <c r="P887" t="str">
        <f>IF(Table1[[#This Row],[Delivery Delay]]&gt;0,"Late","On Time")</f>
        <v>On Time</v>
      </c>
      <c r="Q887">
        <v>67.910389886567003</v>
      </c>
      <c r="R887">
        <v>0.73537087736355855</v>
      </c>
      <c r="S887">
        <v>1.8406609093069807E-3</v>
      </c>
      <c r="T887">
        <v>0.81</v>
      </c>
      <c r="U887">
        <v>0</v>
      </c>
      <c r="V887">
        <v>39.062637374550377</v>
      </c>
    </row>
    <row r="888" spans="1:22" x14ac:dyDescent="0.35">
      <c r="A888" t="s">
        <v>101</v>
      </c>
      <c r="B888" t="s">
        <v>13</v>
      </c>
      <c r="C888" t="s">
        <v>9</v>
      </c>
      <c r="D888">
        <v>0.91</v>
      </c>
      <c r="E888" t="s">
        <v>38</v>
      </c>
      <c r="F888" t="s">
        <v>34</v>
      </c>
      <c r="G888">
        <v>1</v>
      </c>
      <c r="H888">
        <v>-21.300299999999901</v>
      </c>
      <c r="I888" t="s">
        <v>47</v>
      </c>
      <c r="J888" s="1">
        <v>44205</v>
      </c>
      <c r="K888">
        <v>21.7014191476033</v>
      </c>
      <c r="L888" s="1">
        <v>44224</v>
      </c>
      <c r="M888" s="1">
        <v>44225</v>
      </c>
      <c r="N888">
        <v>238.715610623636</v>
      </c>
      <c r="O888">
        <v>1</v>
      </c>
      <c r="P888" t="str">
        <f>IF(Table1[[#This Row],[Delivery Delay]]&gt;0,"Late","On Time")</f>
        <v>Late</v>
      </c>
      <c r="Q888">
        <v>21.701419147603271</v>
      </c>
      <c r="R888">
        <v>0</v>
      </c>
      <c r="S888">
        <v>4.1890850681592868E-3</v>
      </c>
      <c r="T888">
        <v>0.91</v>
      </c>
      <c r="U888">
        <v>0</v>
      </c>
      <c r="V888">
        <v>27.425672552044784</v>
      </c>
    </row>
    <row r="889" spans="1:22" x14ac:dyDescent="0.35">
      <c r="A889" t="s">
        <v>102</v>
      </c>
      <c r="B889" t="s">
        <v>15</v>
      </c>
      <c r="C889" t="s">
        <v>11</v>
      </c>
      <c r="D889">
        <v>0.72</v>
      </c>
      <c r="E889" t="s">
        <v>37</v>
      </c>
      <c r="F889" t="s">
        <v>34</v>
      </c>
      <c r="G889">
        <v>1</v>
      </c>
      <c r="H889">
        <v>694.47360000000003</v>
      </c>
      <c r="I889" t="s">
        <v>48</v>
      </c>
      <c r="J889" s="1">
        <v>44877</v>
      </c>
      <c r="K889">
        <v>19.869519511125699</v>
      </c>
      <c r="L889" s="1">
        <v>44889</v>
      </c>
      <c r="M889" s="1">
        <v>44886</v>
      </c>
      <c r="N889">
        <v>178.82567560013101</v>
      </c>
      <c r="O889">
        <v>-3</v>
      </c>
      <c r="P889" t="str">
        <f>IF(Table1[[#This Row],[Delivery Delay]]&gt;0,"Late","On Time")</f>
        <v>On Time</v>
      </c>
      <c r="Q889">
        <v>19.869519511125667</v>
      </c>
      <c r="R889">
        <v>0.38081025025530885</v>
      </c>
      <c r="S889">
        <v>5.5920381491306797E-3</v>
      </c>
      <c r="T889">
        <v>0.72</v>
      </c>
      <c r="U889">
        <v>0</v>
      </c>
      <c r="V889">
        <v>29.383966149580097</v>
      </c>
    </row>
    <row r="890" spans="1:22" x14ac:dyDescent="0.35">
      <c r="A890" t="s">
        <v>99</v>
      </c>
      <c r="B890" t="s">
        <v>10</v>
      </c>
      <c r="C890" t="s">
        <v>9</v>
      </c>
      <c r="D890">
        <v>0.84</v>
      </c>
      <c r="E890" t="s">
        <v>36</v>
      </c>
      <c r="F890" t="s">
        <v>34</v>
      </c>
      <c r="G890">
        <v>1</v>
      </c>
      <c r="H890">
        <v>497.50560000000002</v>
      </c>
      <c r="I890" t="s">
        <v>45</v>
      </c>
      <c r="J890" s="1">
        <v>44647</v>
      </c>
      <c r="K890">
        <v>44.848824491202102</v>
      </c>
      <c r="L890" s="1">
        <v>44663</v>
      </c>
      <c r="M890" s="1">
        <v>44669</v>
      </c>
      <c r="N890">
        <v>313.941771438415</v>
      </c>
      <c r="O890">
        <v>6</v>
      </c>
      <c r="P890" t="str">
        <f>IF(Table1[[#This Row],[Delivery Delay]]&gt;0,"Late","On Time")</f>
        <v>Late</v>
      </c>
      <c r="Q890">
        <v>44.848824491202144</v>
      </c>
      <c r="R890">
        <v>0.62561567434448795</v>
      </c>
      <c r="S890">
        <v>3.1853040626553478E-3</v>
      </c>
      <c r="T890">
        <v>0.84</v>
      </c>
      <c r="U890">
        <v>0</v>
      </c>
      <c r="V890">
        <v>37.807872608769422</v>
      </c>
    </row>
    <row r="891" spans="1:22" x14ac:dyDescent="0.35">
      <c r="A891" t="s">
        <v>103</v>
      </c>
      <c r="B891" t="s">
        <v>10</v>
      </c>
      <c r="C891" t="s">
        <v>11</v>
      </c>
      <c r="D891">
        <v>0.95</v>
      </c>
      <c r="E891" t="s">
        <v>38</v>
      </c>
      <c r="F891" t="s">
        <v>34</v>
      </c>
      <c r="G891">
        <v>1</v>
      </c>
      <c r="H891">
        <v>226.76489999999899</v>
      </c>
      <c r="I891" t="s">
        <v>50</v>
      </c>
      <c r="J891" s="1">
        <v>44680</v>
      </c>
      <c r="K891">
        <v>57.591243254031298</v>
      </c>
      <c r="L891" s="1">
        <v>44692</v>
      </c>
      <c r="M891" s="1">
        <v>44695</v>
      </c>
      <c r="N891">
        <v>979.05113531853306</v>
      </c>
      <c r="O891">
        <v>3</v>
      </c>
      <c r="P891" t="str">
        <f>IF(Table1[[#This Row],[Delivery Delay]]&gt;0,"Late","On Time")</f>
        <v>Late</v>
      </c>
      <c r="Q891">
        <v>57.591243254031355</v>
      </c>
      <c r="R891">
        <v>0.56021086754965166</v>
      </c>
      <c r="S891">
        <v>1.0213971098400813E-3</v>
      </c>
      <c r="T891">
        <v>0.95</v>
      </c>
      <c r="U891">
        <v>0</v>
      </c>
      <c r="V891">
        <v>39.734859264288232</v>
      </c>
    </row>
    <row r="892" spans="1:22" x14ac:dyDescent="0.35">
      <c r="A892" t="s">
        <v>104</v>
      </c>
      <c r="B892" t="s">
        <v>6</v>
      </c>
      <c r="C892" t="s">
        <v>7</v>
      </c>
      <c r="D892">
        <v>0.84</v>
      </c>
      <c r="E892" t="s">
        <v>35</v>
      </c>
      <c r="F892" t="s">
        <v>34</v>
      </c>
      <c r="G892">
        <v>1</v>
      </c>
      <c r="H892">
        <v>612.94659999999999</v>
      </c>
      <c r="I892" t="s">
        <v>46</v>
      </c>
      <c r="J892" s="1">
        <v>45360</v>
      </c>
      <c r="K892">
        <v>4.5814341147057203</v>
      </c>
      <c r="L892" s="1">
        <v>45378</v>
      </c>
      <c r="M892" s="1">
        <v>45375</v>
      </c>
      <c r="N892">
        <v>22.9071705735286</v>
      </c>
      <c r="O892">
        <v>-3</v>
      </c>
      <c r="P892" t="str">
        <f>IF(Table1[[#This Row],[Delivery Delay]]&gt;0,"Late","On Time")</f>
        <v>On Time</v>
      </c>
      <c r="Q892">
        <v>4.5814341147057203</v>
      </c>
      <c r="R892">
        <v>0.66682861968810592</v>
      </c>
      <c r="S892">
        <v>4.365445294913875E-2</v>
      </c>
      <c r="T892">
        <v>0.84</v>
      </c>
      <c r="U892">
        <v>0</v>
      </c>
      <c r="V892">
        <v>39.846205982236285</v>
      </c>
    </row>
    <row r="893" spans="1:22" x14ac:dyDescent="0.35">
      <c r="A893" t="s">
        <v>105</v>
      </c>
      <c r="B893" t="s">
        <v>13</v>
      </c>
      <c r="C893" t="s">
        <v>5</v>
      </c>
      <c r="D893">
        <v>0.69</v>
      </c>
      <c r="E893" t="s">
        <v>37</v>
      </c>
      <c r="F893" t="s">
        <v>34</v>
      </c>
      <c r="G893">
        <v>1</v>
      </c>
      <c r="H893">
        <v>444.67549999999898</v>
      </c>
      <c r="I893" t="s">
        <v>46</v>
      </c>
      <c r="J893" s="1">
        <v>45115</v>
      </c>
      <c r="K893">
        <v>19.0232272007832</v>
      </c>
      <c r="L893" s="1">
        <v>45128</v>
      </c>
      <c r="M893" s="1">
        <v>45133</v>
      </c>
      <c r="N893">
        <v>190.23227200783199</v>
      </c>
      <c r="O893">
        <v>5</v>
      </c>
      <c r="P893" t="str">
        <f>IF(Table1[[#This Row],[Delivery Delay]]&gt;0,"Late","On Time")</f>
        <v>Late</v>
      </c>
      <c r="Q893">
        <v>19.0232272007832</v>
      </c>
      <c r="R893">
        <v>0.68731428006160922</v>
      </c>
      <c r="S893">
        <v>5.2567316231119255E-3</v>
      </c>
      <c r="T893">
        <v>0.69</v>
      </c>
      <c r="U893">
        <v>0</v>
      </c>
      <c r="V893">
        <v>34.603987549925542</v>
      </c>
    </row>
    <row r="894" spans="1:22" x14ac:dyDescent="0.35">
      <c r="A894" t="s">
        <v>106</v>
      </c>
      <c r="B894" t="s">
        <v>4</v>
      </c>
      <c r="C894" t="s">
        <v>9</v>
      </c>
      <c r="D894">
        <v>0.61</v>
      </c>
      <c r="E894" t="s">
        <v>38</v>
      </c>
      <c r="F894" t="s">
        <v>39</v>
      </c>
      <c r="G894">
        <v>0</v>
      </c>
      <c r="H894">
        <v>-73.581999999999994</v>
      </c>
      <c r="I894" t="s">
        <v>47</v>
      </c>
      <c r="J894" s="1">
        <v>45205</v>
      </c>
      <c r="K894">
        <v>78.452495742924498</v>
      </c>
      <c r="L894" s="1">
        <v>45222</v>
      </c>
      <c r="M894" s="1">
        <v>45221</v>
      </c>
      <c r="N894">
        <v>706.07246168632003</v>
      </c>
      <c r="O894">
        <v>-1</v>
      </c>
      <c r="P894" t="str">
        <f>IF(Table1[[#This Row],[Delivery Delay]]&gt;0,"Late","On Time")</f>
        <v>On Time</v>
      </c>
      <c r="Q894">
        <v>78.452495742924441</v>
      </c>
      <c r="R894">
        <v>0</v>
      </c>
      <c r="S894">
        <v>1.4162852317050998E-3</v>
      </c>
      <c r="T894">
        <v>0.61</v>
      </c>
      <c r="U894">
        <v>1</v>
      </c>
      <c r="V894">
        <v>38.342488556951153</v>
      </c>
    </row>
    <row r="895" spans="1:22" x14ac:dyDescent="0.35">
      <c r="A895" t="s">
        <v>108</v>
      </c>
      <c r="B895" t="s">
        <v>4</v>
      </c>
      <c r="C895" t="s">
        <v>9</v>
      </c>
      <c r="D895">
        <v>0.94</v>
      </c>
      <c r="E895" t="s">
        <v>36</v>
      </c>
      <c r="F895" t="s">
        <v>39</v>
      </c>
      <c r="G895">
        <v>0</v>
      </c>
      <c r="H895">
        <v>277.983</v>
      </c>
      <c r="I895" t="s">
        <v>46</v>
      </c>
      <c r="J895" s="1">
        <v>44254</v>
      </c>
      <c r="K895">
        <v>43.282614196858702</v>
      </c>
      <c r="L895" s="1">
        <v>44268</v>
      </c>
      <c r="M895" s="1">
        <v>44272</v>
      </c>
      <c r="N895">
        <v>346.26091357486899</v>
      </c>
      <c r="O895">
        <v>4</v>
      </c>
      <c r="P895" t="str">
        <f>IF(Table1[[#This Row],[Delivery Delay]]&gt;0,"Late","On Time")</f>
        <v>Late</v>
      </c>
      <c r="Q895">
        <v>43.282614196858624</v>
      </c>
      <c r="R895">
        <v>0.73994032202681514</v>
      </c>
      <c r="S895">
        <v>2.8879956148552665E-3</v>
      </c>
      <c r="T895">
        <v>0.94</v>
      </c>
      <c r="U895">
        <v>1</v>
      </c>
      <c r="V895">
        <v>63.085446308981965</v>
      </c>
    </row>
    <row r="896" spans="1:22" x14ac:dyDescent="0.35">
      <c r="A896" t="s">
        <v>102</v>
      </c>
      <c r="B896" t="s">
        <v>6</v>
      </c>
      <c r="C896" t="s">
        <v>9</v>
      </c>
      <c r="D896">
        <v>0.61</v>
      </c>
      <c r="E896" t="s">
        <v>36</v>
      </c>
      <c r="F896" t="s">
        <v>34</v>
      </c>
      <c r="G896">
        <v>1</v>
      </c>
      <c r="H896">
        <v>412.44600000000003</v>
      </c>
      <c r="I896" t="s">
        <v>46</v>
      </c>
      <c r="J896" s="1">
        <v>44775</v>
      </c>
      <c r="K896">
        <v>74.742064379823304</v>
      </c>
      <c r="L896" s="1">
        <v>44785</v>
      </c>
      <c r="M896" s="1">
        <v>44790</v>
      </c>
      <c r="N896">
        <v>896.90477255788005</v>
      </c>
      <c r="O896">
        <v>5</v>
      </c>
      <c r="P896" t="str">
        <f>IF(Table1[[#This Row],[Delivery Delay]]&gt;0,"Late","On Time")</f>
        <v>Late</v>
      </c>
      <c r="Q896">
        <v>74.742064379823333</v>
      </c>
      <c r="R896">
        <v>0.37084931565971269</v>
      </c>
      <c r="S896">
        <v>1.114945566794235E-3</v>
      </c>
      <c r="T896">
        <v>0.61</v>
      </c>
      <c r="U896">
        <v>0</v>
      </c>
      <c r="V896">
        <v>25.750434680198079</v>
      </c>
    </row>
    <row r="897" spans="1:22" x14ac:dyDescent="0.35">
      <c r="A897" t="s">
        <v>99</v>
      </c>
      <c r="B897" t="s">
        <v>8</v>
      </c>
      <c r="C897" t="s">
        <v>7</v>
      </c>
      <c r="D897">
        <v>0.94</v>
      </c>
      <c r="E897" t="s">
        <v>35</v>
      </c>
      <c r="F897" t="s">
        <v>34</v>
      </c>
      <c r="G897">
        <v>1</v>
      </c>
      <c r="H897">
        <v>265.321699999999</v>
      </c>
      <c r="I897" t="s">
        <v>48</v>
      </c>
      <c r="J897" s="1">
        <v>44624</v>
      </c>
      <c r="K897">
        <v>4.90750873619172</v>
      </c>
      <c r="L897" s="1">
        <v>44640</v>
      </c>
      <c r="M897" s="1">
        <v>44640</v>
      </c>
      <c r="N897">
        <v>49.075087361917198</v>
      </c>
      <c r="O897">
        <v>0</v>
      </c>
      <c r="P897" t="str">
        <f>IF(Table1[[#This Row],[Delivery Delay]]&gt;0,"Late","On Time")</f>
        <v>On Time</v>
      </c>
      <c r="Q897">
        <v>4.90750873619172</v>
      </c>
      <c r="R897">
        <v>0.17397668535883248</v>
      </c>
      <c r="S897">
        <v>2.0376937744913948E-2</v>
      </c>
      <c r="T897">
        <v>0.94</v>
      </c>
      <c r="U897">
        <v>0</v>
      </c>
      <c r="V897">
        <v>32.290841839524063</v>
      </c>
    </row>
    <row r="898" spans="1:22" x14ac:dyDescent="0.35">
      <c r="A898" t="s">
        <v>103</v>
      </c>
      <c r="B898" t="s">
        <v>4</v>
      </c>
      <c r="C898" t="s">
        <v>9</v>
      </c>
      <c r="D898">
        <v>0.81</v>
      </c>
      <c r="E898" t="s">
        <v>36</v>
      </c>
      <c r="F898" t="s">
        <v>39</v>
      </c>
      <c r="G898">
        <v>0</v>
      </c>
      <c r="H898">
        <v>1041.1951999999901</v>
      </c>
      <c r="I898" t="s">
        <v>47</v>
      </c>
      <c r="J898" s="1">
        <v>44362</v>
      </c>
      <c r="K898">
        <v>60.956675026785</v>
      </c>
      <c r="L898" s="1">
        <v>44380</v>
      </c>
      <c r="M898" s="1">
        <v>44379</v>
      </c>
      <c r="N898">
        <v>1097.2201504821301</v>
      </c>
      <c r="O898">
        <v>-1</v>
      </c>
      <c r="P898" t="str">
        <f>IF(Table1[[#This Row],[Delivery Delay]]&gt;0,"Late","On Time")</f>
        <v>On Time</v>
      </c>
      <c r="Q898">
        <v>60.956675026785007</v>
      </c>
      <c r="R898">
        <v>0.51669264367615075</v>
      </c>
      <c r="S898">
        <v>9.1139412592868398E-4</v>
      </c>
      <c r="T898">
        <v>0.81</v>
      </c>
      <c r="U898">
        <v>1</v>
      </c>
      <c r="V898">
        <v>54.661194697300871</v>
      </c>
    </row>
    <row r="899" spans="1:22" x14ac:dyDescent="0.35">
      <c r="A899" t="s">
        <v>104</v>
      </c>
      <c r="B899" t="s">
        <v>14</v>
      </c>
      <c r="C899" t="s">
        <v>9</v>
      </c>
      <c r="D899">
        <v>0.97</v>
      </c>
      <c r="E899" t="s">
        <v>37</v>
      </c>
      <c r="F899" t="s">
        <v>34</v>
      </c>
      <c r="G899">
        <v>1</v>
      </c>
      <c r="H899">
        <v>402.26079999999899</v>
      </c>
      <c r="I899" t="s">
        <v>48</v>
      </c>
      <c r="J899" s="1">
        <v>44220</v>
      </c>
      <c r="K899">
        <v>53.073517869815099</v>
      </c>
      <c r="L899" s="1">
        <v>44233</v>
      </c>
      <c r="M899" s="1">
        <v>44233</v>
      </c>
      <c r="N899">
        <v>424.58814295852102</v>
      </c>
      <c r="O899">
        <v>0</v>
      </c>
      <c r="P899" t="str">
        <f>IF(Table1[[#This Row],[Delivery Delay]]&gt;0,"Late","On Time")</f>
        <v>On Time</v>
      </c>
      <c r="Q899">
        <v>53.073517869815127</v>
      </c>
      <c r="R899">
        <v>0.2603662129652366</v>
      </c>
      <c r="S899">
        <v>2.3552235656700668E-3</v>
      </c>
      <c r="T899">
        <v>0.97</v>
      </c>
      <c r="U899">
        <v>0</v>
      </c>
      <c r="V899">
        <v>34.377980966274833</v>
      </c>
    </row>
    <row r="900" spans="1:22" x14ac:dyDescent="0.35">
      <c r="A900" t="s">
        <v>105</v>
      </c>
      <c r="B900" t="s">
        <v>12</v>
      </c>
      <c r="C900" t="s">
        <v>7</v>
      </c>
      <c r="D900">
        <v>0.91</v>
      </c>
      <c r="E900" t="s">
        <v>37</v>
      </c>
      <c r="F900" t="s">
        <v>34</v>
      </c>
      <c r="G900">
        <v>1</v>
      </c>
      <c r="H900">
        <v>263.731799999999</v>
      </c>
      <c r="I900" t="s">
        <v>50</v>
      </c>
      <c r="J900" s="1">
        <v>44386</v>
      </c>
      <c r="K900">
        <v>33.421999266936197</v>
      </c>
      <c r="L900" s="1">
        <v>44409</v>
      </c>
      <c r="M900" s="1">
        <v>44410</v>
      </c>
      <c r="N900">
        <v>267.37599413548901</v>
      </c>
      <c r="O900">
        <v>1</v>
      </c>
      <c r="P900" t="str">
        <f>IF(Table1[[#This Row],[Delivery Delay]]&gt;0,"Late","On Time")</f>
        <v>Late</v>
      </c>
      <c r="Q900">
        <v>33.421999266936126</v>
      </c>
      <c r="R900">
        <v>0.87822250815679392</v>
      </c>
      <c r="S900">
        <v>3.7400515451408256E-3</v>
      </c>
      <c r="T900">
        <v>0.91</v>
      </c>
      <c r="U900">
        <v>0</v>
      </c>
      <c r="V900">
        <v>44.976651709490106</v>
      </c>
    </row>
    <row r="901" spans="1:22" x14ac:dyDescent="0.35">
      <c r="A901" t="s">
        <v>106</v>
      </c>
      <c r="B901" t="s">
        <v>10</v>
      </c>
      <c r="C901" t="s">
        <v>9</v>
      </c>
      <c r="D901">
        <v>0.99</v>
      </c>
      <c r="E901" t="s">
        <v>36</v>
      </c>
      <c r="F901" t="s">
        <v>34</v>
      </c>
      <c r="G901">
        <v>1</v>
      </c>
      <c r="H901">
        <v>416.55679999999899</v>
      </c>
      <c r="I901" t="s">
        <v>50</v>
      </c>
      <c r="J901" s="1">
        <v>44216</v>
      </c>
      <c r="K901">
        <v>57.811066267816102</v>
      </c>
      <c r="L901" s="1">
        <v>44232</v>
      </c>
      <c r="M901" s="1">
        <v>44233</v>
      </c>
      <c r="N901">
        <v>578.11066267816102</v>
      </c>
      <c r="O901">
        <v>1</v>
      </c>
      <c r="P901" t="str">
        <f>IF(Table1[[#This Row],[Delivery Delay]]&gt;0,"Late","On Time")</f>
        <v>Late</v>
      </c>
      <c r="Q901">
        <v>57.811066267816102</v>
      </c>
      <c r="R901">
        <v>0.50626934864112139</v>
      </c>
      <c r="S901">
        <v>1.7297726275578285E-3</v>
      </c>
      <c r="T901">
        <v>0.99</v>
      </c>
      <c r="U901">
        <v>0</v>
      </c>
      <c r="V901">
        <v>39.877280151649167</v>
      </c>
    </row>
    <row r="902" spans="1:22" x14ac:dyDescent="0.35">
      <c r="A902" t="s">
        <v>108</v>
      </c>
      <c r="B902" t="s">
        <v>4</v>
      </c>
      <c r="C902" t="s">
        <v>5</v>
      </c>
      <c r="D902">
        <v>0.75</v>
      </c>
      <c r="E902" t="s">
        <v>38</v>
      </c>
      <c r="F902" t="s">
        <v>34</v>
      </c>
      <c r="G902">
        <v>1</v>
      </c>
      <c r="H902">
        <v>256.38600000000002</v>
      </c>
      <c r="I902" t="s">
        <v>48</v>
      </c>
      <c r="J902" s="1">
        <v>44297</v>
      </c>
      <c r="K902">
        <v>45.860726533960801</v>
      </c>
      <c r="L902" s="1">
        <v>44314</v>
      </c>
      <c r="M902" s="1">
        <v>44315</v>
      </c>
      <c r="N902">
        <v>550.32871840753</v>
      </c>
      <c r="O902">
        <v>1</v>
      </c>
      <c r="P902" t="str">
        <f>IF(Table1[[#This Row],[Delivery Delay]]&gt;0,"Late","On Time")</f>
        <v>Late</v>
      </c>
      <c r="Q902">
        <v>45.860726533960836</v>
      </c>
      <c r="R902">
        <v>0.85872470408552903</v>
      </c>
      <c r="S902">
        <v>1.8170957948436173E-3</v>
      </c>
      <c r="T902">
        <v>0.75</v>
      </c>
      <c r="U902">
        <v>0</v>
      </c>
      <c r="V902">
        <v>39.729006955555889</v>
      </c>
    </row>
    <row r="903" spans="1:22" x14ac:dyDescent="0.35">
      <c r="A903" t="s">
        <v>107</v>
      </c>
      <c r="B903" t="s">
        <v>6</v>
      </c>
      <c r="C903" t="s">
        <v>7</v>
      </c>
      <c r="D903">
        <v>0.8</v>
      </c>
      <c r="E903" t="s">
        <v>38</v>
      </c>
      <c r="F903" t="s">
        <v>34</v>
      </c>
      <c r="G903">
        <v>1</v>
      </c>
      <c r="H903">
        <v>78.177599999999998</v>
      </c>
      <c r="I903" t="s">
        <v>50</v>
      </c>
      <c r="J903" s="1">
        <v>44932</v>
      </c>
      <c r="K903">
        <v>52.166773463381901</v>
      </c>
      <c r="L903" s="1">
        <v>44950</v>
      </c>
      <c r="M903" s="1">
        <v>44956</v>
      </c>
      <c r="N903">
        <v>521.66773463381901</v>
      </c>
      <c r="O903">
        <v>6</v>
      </c>
      <c r="P903" t="str">
        <f>IF(Table1[[#This Row],[Delivery Delay]]&gt;0,"Late","On Time")</f>
        <v>Late</v>
      </c>
      <c r="Q903">
        <v>52.166773463381901</v>
      </c>
      <c r="R903">
        <v>0.16085343411432013</v>
      </c>
      <c r="S903">
        <v>1.9169289829702482E-3</v>
      </c>
      <c r="T903">
        <v>0.8</v>
      </c>
      <c r="U903">
        <v>0</v>
      </c>
      <c r="V903">
        <v>27.27457655177551</v>
      </c>
    </row>
    <row r="904" spans="1:22" x14ac:dyDescent="0.35">
      <c r="A904" t="s">
        <v>100</v>
      </c>
      <c r="B904" t="s">
        <v>8</v>
      </c>
      <c r="C904" t="s">
        <v>9</v>
      </c>
      <c r="D904">
        <v>0.62</v>
      </c>
      <c r="E904" t="s">
        <v>38</v>
      </c>
      <c r="F904" t="s">
        <v>34</v>
      </c>
      <c r="G904">
        <v>1</v>
      </c>
      <c r="H904">
        <v>-78.626800000000003</v>
      </c>
      <c r="I904" t="s">
        <v>47</v>
      </c>
      <c r="J904" s="1">
        <v>45066</v>
      </c>
      <c r="K904">
        <v>18.425363171794501</v>
      </c>
      <c r="L904" s="1">
        <v>45078</v>
      </c>
      <c r="M904" s="1">
        <v>45081</v>
      </c>
      <c r="N904">
        <v>165.82826854615001</v>
      </c>
      <c r="O904">
        <v>3</v>
      </c>
      <c r="P904" t="str">
        <f>IF(Table1[[#This Row],[Delivery Delay]]&gt;0,"Late","On Time")</f>
        <v>Late</v>
      </c>
      <c r="Q904">
        <v>18.425363171794444</v>
      </c>
      <c r="R904">
        <v>0</v>
      </c>
      <c r="S904">
        <v>6.0303349288224643E-3</v>
      </c>
      <c r="T904">
        <v>0.62</v>
      </c>
      <c r="U904">
        <v>0</v>
      </c>
      <c r="V904">
        <v>18.780910047864673</v>
      </c>
    </row>
    <row r="905" spans="1:22" x14ac:dyDescent="0.35">
      <c r="A905" t="s">
        <v>101</v>
      </c>
      <c r="B905" t="s">
        <v>4</v>
      </c>
      <c r="C905" t="s">
        <v>9</v>
      </c>
      <c r="D905">
        <v>0.66</v>
      </c>
      <c r="E905" t="s">
        <v>35</v>
      </c>
      <c r="F905" t="s">
        <v>34</v>
      </c>
      <c r="G905">
        <v>1</v>
      </c>
      <c r="H905">
        <v>397.51039999999898</v>
      </c>
      <c r="I905" t="s">
        <v>51</v>
      </c>
      <c r="J905" s="1">
        <v>45057</v>
      </c>
      <c r="K905">
        <v>39.940471266420502</v>
      </c>
      <c r="L905" s="1">
        <v>45080</v>
      </c>
      <c r="M905" s="1">
        <v>45079</v>
      </c>
      <c r="N905">
        <v>359.46424139778401</v>
      </c>
      <c r="O905">
        <v>-1</v>
      </c>
      <c r="P905" t="str">
        <f>IF(Table1[[#This Row],[Delivery Delay]]&gt;0,"Late","On Time")</f>
        <v>On Time</v>
      </c>
      <c r="Q905">
        <v>39.940471266420445</v>
      </c>
      <c r="R905">
        <v>0.2345539496553587</v>
      </c>
      <c r="S905">
        <v>2.781917878984234E-3</v>
      </c>
      <c r="T905">
        <v>0.66</v>
      </c>
      <c r="U905">
        <v>0</v>
      </c>
      <c r="V905">
        <v>24.574536529476703</v>
      </c>
    </row>
    <row r="906" spans="1:22" x14ac:dyDescent="0.35">
      <c r="A906" t="s">
        <v>102</v>
      </c>
      <c r="B906" t="s">
        <v>10</v>
      </c>
      <c r="C906" t="s">
        <v>9</v>
      </c>
      <c r="D906">
        <v>0.89</v>
      </c>
      <c r="E906" t="s">
        <v>36</v>
      </c>
      <c r="F906" t="s">
        <v>34</v>
      </c>
      <c r="G906">
        <v>1</v>
      </c>
      <c r="H906">
        <v>38.641599999999897</v>
      </c>
      <c r="I906" t="s">
        <v>48</v>
      </c>
      <c r="J906" s="1">
        <v>44859</v>
      </c>
      <c r="K906">
        <v>29.045332266459301</v>
      </c>
      <c r="L906" s="1">
        <v>44883</v>
      </c>
      <c r="M906" s="1">
        <v>44882</v>
      </c>
      <c r="N906">
        <v>319.49865493105301</v>
      </c>
      <c r="O906">
        <v>-1</v>
      </c>
      <c r="P906" t="str">
        <f>IF(Table1[[#This Row],[Delivery Delay]]&gt;0,"Late","On Time")</f>
        <v>On Time</v>
      </c>
      <c r="Q906">
        <v>29.045332266459365</v>
      </c>
      <c r="R906">
        <v>0.21271198756368928</v>
      </c>
      <c r="S906">
        <v>3.1299036304731783E-3</v>
      </c>
      <c r="T906">
        <v>0.89</v>
      </c>
      <c r="U906">
        <v>0</v>
      </c>
      <c r="V906">
        <v>31.048136860187981</v>
      </c>
    </row>
    <row r="907" spans="1:22" x14ac:dyDescent="0.35">
      <c r="A907" t="s">
        <v>99</v>
      </c>
      <c r="B907" t="s">
        <v>4</v>
      </c>
      <c r="C907" t="s">
        <v>11</v>
      </c>
      <c r="D907">
        <v>0.63</v>
      </c>
      <c r="E907" t="s">
        <v>38</v>
      </c>
      <c r="F907" t="s">
        <v>34</v>
      </c>
      <c r="G907">
        <v>1</v>
      </c>
      <c r="H907">
        <v>157.9648</v>
      </c>
      <c r="I907" t="s">
        <v>45</v>
      </c>
      <c r="J907" s="1">
        <v>45306</v>
      </c>
      <c r="K907">
        <v>73.510166880985807</v>
      </c>
      <c r="L907" s="1">
        <v>45325</v>
      </c>
      <c r="M907" s="1">
        <v>45322</v>
      </c>
      <c r="N907">
        <v>735.10166880985798</v>
      </c>
      <c r="O907">
        <v>-3</v>
      </c>
      <c r="P907" t="str">
        <f>IF(Table1[[#This Row],[Delivery Delay]]&gt;0,"Late","On Time")</f>
        <v>On Time</v>
      </c>
      <c r="Q907">
        <v>73.510166880985793</v>
      </c>
      <c r="R907">
        <v>0.35635058995932184</v>
      </c>
      <c r="S907">
        <v>1.3603560465575012E-3</v>
      </c>
      <c r="T907">
        <v>0.63</v>
      </c>
      <c r="U907">
        <v>0</v>
      </c>
      <c r="V907">
        <v>26.067822480583164</v>
      </c>
    </row>
    <row r="908" spans="1:22" x14ac:dyDescent="0.35">
      <c r="A908" t="s">
        <v>103</v>
      </c>
      <c r="B908" t="s">
        <v>6</v>
      </c>
      <c r="C908" t="s">
        <v>11</v>
      </c>
      <c r="D908">
        <v>0.84</v>
      </c>
      <c r="E908" t="s">
        <v>38</v>
      </c>
      <c r="F908" t="s">
        <v>34</v>
      </c>
      <c r="G908">
        <v>1</v>
      </c>
      <c r="H908">
        <v>206.5925</v>
      </c>
      <c r="I908" t="s">
        <v>45</v>
      </c>
      <c r="J908" s="1">
        <v>45155</v>
      </c>
      <c r="K908">
        <v>18.231391366233701</v>
      </c>
      <c r="L908" s="1">
        <v>45170</v>
      </c>
      <c r="M908" s="1">
        <v>45168</v>
      </c>
      <c r="N908">
        <v>237.00808776103801</v>
      </c>
      <c r="O908">
        <v>-2</v>
      </c>
      <c r="P908" t="str">
        <f>IF(Table1[[#This Row],[Delivery Delay]]&gt;0,"Late","On Time")</f>
        <v>On Time</v>
      </c>
      <c r="Q908">
        <v>18.231391366233694</v>
      </c>
      <c r="R908">
        <v>0.40185861493797326</v>
      </c>
      <c r="S908">
        <v>4.2192652978502746E-3</v>
      </c>
      <c r="T908">
        <v>0.84</v>
      </c>
      <c r="U908">
        <v>0</v>
      </c>
      <c r="V908">
        <v>33.363750257694974</v>
      </c>
    </row>
    <row r="909" spans="1:22" x14ac:dyDescent="0.35">
      <c r="A909" t="s">
        <v>104</v>
      </c>
      <c r="B909" t="s">
        <v>4</v>
      </c>
      <c r="C909" t="s">
        <v>9</v>
      </c>
      <c r="D909">
        <v>0.7</v>
      </c>
      <c r="E909" t="s">
        <v>38</v>
      </c>
      <c r="F909" t="s">
        <v>34</v>
      </c>
      <c r="G909">
        <v>1</v>
      </c>
      <c r="H909">
        <v>408.49599999999998</v>
      </c>
      <c r="I909" t="s">
        <v>46</v>
      </c>
      <c r="J909" s="1">
        <v>44289</v>
      </c>
      <c r="K909">
        <v>47.469545249727403</v>
      </c>
      <c r="L909" s="1">
        <v>44306</v>
      </c>
      <c r="M909" s="1">
        <v>44311</v>
      </c>
      <c r="N909">
        <v>237.347726248637</v>
      </c>
      <c r="O909">
        <v>5</v>
      </c>
      <c r="P909" t="str">
        <f>IF(Table1[[#This Row],[Delivery Delay]]&gt;0,"Late","On Time")</f>
        <v>Late</v>
      </c>
      <c r="Q909">
        <v>47.469545249727403</v>
      </c>
      <c r="R909">
        <v>0.32893990929705214</v>
      </c>
      <c r="S909">
        <v>4.2132276378010706E-3</v>
      </c>
      <c r="T909">
        <v>0.7</v>
      </c>
      <c r="U909">
        <v>0</v>
      </c>
      <c r="V909">
        <v>27.705195015075073</v>
      </c>
    </row>
    <row r="910" spans="1:22" x14ac:dyDescent="0.35">
      <c r="A910" t="s">
        <v>105</v>
      </c>
      <c r="B910" t="s">
        <v>6</v>
      </c>
      <c r="C910" t="s">
        <v>9</v>
      </c>
      <c r="D910">
        <v>0.75</v>
      </c>
      <c r="E910" t="s">
        <v>36</v>
      </c>
      <c r="F910" t="s">
        <v>34</v>
      </c>
      <c r="G910">
        <v>1</v>
      </c>
      <c r="H910">
        <v>239.57999999999899</v>
      </c>
      <c r="I910" t="s">
        <v>50</v>
      </c>
      <c r="J910" s="1">
        <v>44241</v>
      </c>
      <c r="K910">
        <v>68.411464422038605</v>
      </c>
      <c r="L910" s="1">
        <v>44254</v>
      </c>
      <c r="M910" s="1">
        <v>44253</v>
      </c>
      <c r="N910">
        <v>342.05732211019301</v>
      </c>
      <c r="O910">
        <v>-1</v>
      </c>
      <c r="P910" t="str">
        <f>IF(Table1[[#This Row],[Delivery Delay]]&gt;0,"Late","On Time")</f>
        <v>On Time</v>
      </c>
      <c r="Q910">
        <v>68.411464422038605</v>
      </c>
      <c r="R910">
        <v>0.48435225618631528</v>
      </c>
      <c r="S910">
        <v>2.9234866069548782E-3</v>
      </c>
      <c r="T910">
        <v>0.75</v>
      </c>
      <c r="U910">
        <v>0</v>
      </c>
      <c r="V910">
        <v>32.274749721934946</v>
      </c>
    </row>
    <row r="911" spans="1:22" x14ac:dyDescent="0.35">
      <c r="A911" t="s">
        <v>106</v>
      </c>
      <c r="B911" t="s">
        <v>12</v>
      </c>
      <c r="C911" t="s">
        <v>9</v>
      </c>
      <c r="D911">
        <v>0.71</v>
      </c>
      <c r="E911" t="s">
        <v>38</v>
      </c>
      <c r="F911" t="s">
        <v>34</v>
      </c>
      <c r="G911">
        <v>1</v>
      </c>
      <c r="H911">
        <v>275.43759999999997</v>
      </c>
      <c r="I911" t="s">
        <v>45</v>
      </c>
      <c r="J911" s="1">
        <v>45185</v>
      </c>
      <c r="K911">
        <v>28.2024929497865</v>
      </c>
      <c r="L911" s="1">
        <v>45206</v>
      </c>
      <c r="M911" s="1">
        <v>45206</v>
      </c>
      <c r="N911">
        <v>338.42991539743798</v>
      </c>
      <c r="O911">
        <v>0</v>
      </c>
      <c r="P911" t="str">
        <f>IF(Table1[[#This Row],[Delivery Delay]]&gt;0,"Late","On Time")</f>
        <v>On Time</v>
      </c>
      <c r="Q911">
        <v>28.2024929497865</v>
      </c>
      <c r="R911">
        <v>0.50680580027585309</v>
      </c>
      <c r="S911">
        <v>2.954821528781348E-3</v>
      </c>
      <c r="T911">
        <v>0.71</v>
      </c>
      <c r="U911">
        <v>0</v>
      </c>
      <c r="V911">
        <v>31.5247606513805</v>
      </c>
    </row>
    <row r="912" spans="1:22" x14ac:dyDescent="0.35">
      <c r="A912" t="s">
        <v>108</v>
      </c>
      <c r="B912" t="s">
        <v>13</v>
      </c>
      <c r="C912" t="s">
        <v>11</v>
      </c>
      <c r="D912">
        <v>0.74</v>
      </c>
      <c r="E912" t="s">
        <v>35</v>
      </c>
      <c r="F912" t="s">
        <v>34</v>
      </c>
      <c r="G912">
        <v>1</v>
      </c>
      <c r="H912">
        <v>386.60860000000002</v>
      </c>
      <c r="I912" t="s">
        <v>46</v>
      </c>
      <c r="J912" s="1">
        <v>44350</v>
      </c>
      <c r="K912">
        <v>36.120880494628402</v>
      </c>
      <c r="L912" s="1">
        <v>44364</v>
      </c>
      <c r="M912" s="1">
        <v>44361</v>
      </c>
      <c r="N912">
        <v>288.96704395702699</v>
      </c>
      <c r="O912">
        <v>-3</v>
      </c>
      <c r="P912" t="str">
        <f>IF(Table1[[#This Row],[Delivery Delay]]&gt;0,"Late","On Time")</f>
        <v>On Time</v>
      </c>
      <c r="Q912">
        <v>36.120880494628373</v>
      </c>
      <c r="R912">
        <v>0.30093096597936686</v>
      </c>
      <c r="S912">
        <v>3.4606022413708622E-3</v>
      </c>
      <c r="T912">
        <v>0.74</v>
      </c>
      <c r="U912">
        <v>0</v>
      </c>
      <c r="V912">
        <v>28.322437386828465</v>
      </c>
    </row>
    <row r="913" spans="1:22" x14ac:dyDescent="0.35">
      <c r="A913" t="s">
        <v>103</v>
      </c>
      <c r="B913" t="s">
        <v>6</v>
      </c>
      <c r="C913" t="s">
        <v>11</v>
      </c>
      <c r="D913">
        <v>0.88</v>
      </c>
      <c r="E913" t="s">
        <v>35</v>
      </c>
      <c r="F913" t="s">
        <v>34</v>
      </c>
      <c r="G913">
        <v>1</v>
      </c>
      <c r="H913">
        <v>830.93279999999902</v>
      </c>
      <c r="I913" t="s">
        <v>51</v>
      </c>
      <c r="J913" s="1">
        <v>44210</v>
      </c>
      <c r="K913">
        <v>31.617657795588201</v>
      </c>
      <c r="L913" s="1">
        <v>44230</v>
      </c>
      <c r="M913" s="1">
        <v>44227</v>
      </c>
      <c r="N913">
        <v>347.79423575147098</v>
      </c>
      <c r="O913">
        <v>-3</v>
      </c>
      <c r="P913" t="str">
        <f>IF(Table1[[#This Row],[Delivery Delay]]&gt;0,"Late","On Time")</f>
        <v>On Time</v>
      </c>
      <c r="Q913">
        <v>31.617657795588272</v>
      </c>
      <c r="R913">
        <v>0.75913890789173555</v>
      </c>
      <c r="S913">
        <v>2.8752632942271833E-3</v>
      </c>
      <c r="T913">
        <v>0.88</v>
      </c>
      <c r="U913">
        <v>0</v>
      </c>
      <c r="V913">
        <v>41.669036056661525</v>
      </c>
    </row>
    <row r="914" spans="1:22" x14ac:dyDescent="0.35">
      <c r="A914" t="s">
        <v>104</v>
      </c>
      <c r="B914" t="s">
        <v>6</v>
      </c>
      <c r="C914" t="s">
        <v>9</v>
      </c>
      <c r="D914">
        <v>0.72</v>
      </c>
      <c r="E914" t="s">
        <v>36</v>
      </c>
      <c r="F914" t="s">
        <v>39</v>
      </c>
      <c r="G914">
        <v>0</v>
      </c>
      <c r="H914">
        <v>337.53399999999903</v>
      </c>
      <c r="I914" t="s">
        <v>47</v>
      </c>
      <c r="J914" s="1">
        <v>45227</v>
      </c>
      <c r="K914">
        <v>68.200069190302898</v>
      </c>
      <c r="L914" s="1">
        <v>45250</v>
      </c>
      <c r="M914" s="1">
        <v>45255</v>
      </c>
      <c r="N914">
        <v>818.40083028363495</v>
      </c>
      <c r="O914">
        <v>5</v>
      </c>
      <c r="P914" t="str">
        <f>IF(Table1[[#This Row],[Delivery Delay]]&gt;0,"Late","On Time")</f>
        <v>Late</v>
      </c>
      <c r="Q914">
        <v>68.200069190302912</v>
      </c>
      <c r="R914">
        <v>0.28746261233333026</v>
      </c>
      <c r="S914">
        <v>1.2218951435489477E-3</v>
      </c>
      <c r="T914">
        <v>0.72</v>
      </c>
      <c r="U914">
        <v>1</v>
      </c>
      <c r="V914">
        <v>47.385909100973073</v>
      </c>
    </row>
    <row r="915" spans="1:22" x14ac:dyDescent="0.35">
      <c r="A915" t="s">
        <v>105</v>
      </c>
      <c r="B915" t="s">
        <v>14</v>
      </c>
      <c r="C915" t="s">
        <v>5</v>
      </c>
      <c r="D915">
        <v>0.82</v>
      </c>
      <c r="E915" t="s">
        <v>36</v>
      </c>
      <c r="F915" t="s">
        <v>34</v>
      </c>
      <c r="G915">
        <v>1</v>
      </c>
      <c r="H915">
        <v>-32.5491999999999</v>
      </c>
      <c r="I915" t="s">
        <v>47</v>
      </c>
      <c r="J915" s="1">
        <v>45061</v>
      </c>
      <c r="K915">
        <v>74.463981611330894</v>
      </c>
      <c r="L915" s="1">
        <v>45085</v>
      </c>
      <c r="M915" s="1">
        <v>45086</v>
      </c>
      <c r="N915">
        <v>744.63981611330905</v>
      </c>
      <c r="O915">
        <v>1</v>
      </c>
      <c r="P915" t="str">
        <f>IF(Table1[[#This Row],[Delivery Delay]]&gt;0,"Late","On Time")</f>
        <v>Late</v>
      </c>
      <c r="Q915">
        <v>74.463981611330908</v>
      </c>
      <c r="R915">
        <v>0</v>
      </c>
      <c r="S915">
        <v>1.342931143837511E-3</v>
      </c>
      <c r="T915">
        <v>0.82</v>
      </c>
      <c r="U915">
        <v>0</v>
      </c>
      <c r="V915">
        <v>24.640287934315122</v>
      </c>
    </row>
    <row r="916" spans="1:22" x14ac:dyDescent="0.35">
      <c r="A916" t="s">
        <v>106</v>
      </c>
      <c r="B916" t="s">
        <v>6</v>
      </c>
      <c r="C916" t="s">
        <v>7</v>
      </c>
      <c r="D916">
        <v>0.79</v>
      </c>
      <c r="E916" t="s">
        <v>38</v>
      </c>
      <c r="F916" t="s">
        <v>34</v>
      </c>
      <c r="G916">
        <v>1</v>
      </c>
      <c r="H916">
        <v>633.12850000000003</v>
      </c>
      <c r="I916" t="s">
        <v>47</v>
      </c>
      <c r="J916" s="1">
        <v>44329</v>
      </c>
      <c r="K916">
        <v>75.612338569126806</v>
      </c>
      <c r="L916" s="1">
        <v>44344</v>
      </c>
      <c r="M916" s="1">
        <v>44341</v>
      </c>
      <c r="N916">
        <v>529.28636998388697</v>
      </c>
      <c r="O916">
        <v>-3</v>
      </c>
      <c r="P916" t="str">
        <f>IF(Table1[[#This Row],[Delivery Delay]]&gt;0,"Late","On Time")</f>
        <v>On Time</v>
      </c>
      <c r="Q916">
        <v>75.612338569126706</v>
      </c>
      <c r="R916">
        <v>0.95418433420719684</v>
      </c>
      <c r="S916">
        <v>1.8893363908661447E-3</v>
      </c>
      <c r="T916">
        <v>0.79</v>
      </c>
      <c r="U916">
        <v>0</v>
      </c>
      <c r="V916">
        <v>42.840366775869917</v>
      </c>
    </row>
    <row r="917" spans="1:22" x14ac:dyDescent="0.35">
      <c r="A917" t="s">
        <v>108</v>
      </c>
      <c r="B917" t="s">
        <v>6</v>
      </c>
      <c r="C917" t="s">
        <v>11</v>
      </c>
      <c r="D917">
        <v>0.86</v>
      </c>
      <c r="E917" t="s">
        <v>35</v>
      </c>
      <c r="F917" t="s">
        <v>34</v>
      </c>
      <c r="G917">
        <v>1</v>
      </c>
      <c r="H917">
        <v>423.23749999999899</v>
      </c>
      <c r="I917" t="s">
        <v>45</v>
      </c>
      <c r="J917" s="1">
        <v>44554</v>
      </c>
      <c r="K917">
        <v>17.0263436638425</v>
      </c>
      <c r="L917" s="1">
        <v>44565</v>
      </c>
      <c r="M917" s="1">
        <v>44569</v>
      </c>
      <c r="N917">
        <v>170.26343663842499</v>
      </c>
      <c r="O917">
        <v>4</v>
      </c>
      <c r="P917" t="str">
        <f>IF(Table1[[#This Row],[Delivery Delay]]&gt;0,"Late","On Time")</f>
        <v>Late</v>
      </c>
      <c r="Q917">
        <v>17.0263436638425</v>
      </c>
      <c r="R917">
        <v>0.29205762658648343</v>
      </c>
      <c r="S917">
        <v>5.8732515902613957E-3</v>
      </c>
      <c r="T917">
        <v>0.86</v>
      </c>
      <c r="U917">
        <v>0</v>
      </c>
      <c r="V917">
        <v>31.81735007943751</v>
      </c>
    </row>
    <row r="918" spans="1:22" x14ac:dyDescent="0.35">
      <c r="A918" t="s">
        <v>107</v>
      </c>
      <c r="B918" t="s">
        <v>8</v>
      </c>
      <c r="C918" t="s">
        <v>11</v>
      </c>
      <c r="D918">
        <v>0.97</v>
      </c>
      <c r="E918" t="s">
        <v>37</v>
      </c>
      <c r="F918" t="s">
        <v>34</v>
      </c>
      <c r="G918">
        <v>1</v>
      </c>
      <c r="H918">
        <v>-27.591199999999901</v>
      </c>
      <c r="I918" t="s">
        <v>51</v>
      </c>
      <c r="J918" s="1">
        <v>44922</v>
      </c>
      <c r="K918">
        <v>3.5016892831603199</v>
      </c>
      <c r="L918" s="1">
        <v>44933</v>
      </c>
      <c r="M918" s="1">
        <v>44938</v>
      </c>
      <c r="N918">
        <v>42.0202713979238</v>
      </c>
      <c r="O918">
        <v>5</v>
      </c>
      <c r="P918" t="str">
        <f>IF(Table1[[#This Row],[Delivery Delay]]&gt;0,"Late","On Time")</f>
        <v>Late</v>
      </c>
      <c r="Q918">
        <v>3.5016892831603168</v>
      </c>
      <c r="R918">
        <v>0</v>
      </c>
      <c r="S918">
        <v>2.3798037631175543E-2</v>
      </c>
      <c r="T918">
        <v>0.97</v>
      </c>
      <c r="U918">
        <v>0</v>
      </c>
      <c r="V918">
        <v>29.813941128935262</v>
      </c>
    </row>
    <row r="919" spans="1:22" x14ac:dyDescent="0.35">
      <c r="A919" t="s">
        <v>100</v>
      </c>
      <c r="B919" t="s">
        <v>13</v>
      </c>
      <c r="C919" t="s">
        <v>5</v>
      </c>
      <c r="D919">
        <v>0.89</v>
      </c>
      <c r="E919" t="s">
        <v>37</v>
      </c>
      <c r="F919" t="s">
        <v>34</v>
      </c>
      <c r="G919">
        <v>1</v>
      </c>
      <c r="H919">
        <v>903.50720000000001</v>
      </c>
      <c r="I919" t="s">
        <v>45</v>
      </c>
      <c r="J919" s="1">
        <v>45126</v>
      </c>
      <c r="K919">
        <v>21.251206661736202</v>
      </c>
      <c r="L919" s="1">
        <v>45149</v>
      </c>
      <c r="M919" s="1">
        <v>45147</v>
      </c>
      <c r="N919">
        <v>191.26085995562599</v>
      </c>
      <c r="O919">
        <v>-2</v>
      </c>
      <c r="P919" t="str">
        <f>IF(Table1[[#This Row],[Delivery Delay]]&gt;0,"Late","On Time")</f>
        <v>On Time</v>
      </c>
      <c r="Q919">
        <v>21.251206661736219</v>
      </c>
      <c r="R919">
        <v>0.47772583376902006</v>
      </c>
      <c r="S919">
        <v>5.2284612765623236E-3</v>
      </c>
      <c r="T919">
        <v>0.89</v>
      </c>
      <c r="U919">
        <v>0</v>
      </c>
      <c r="V919">
        <v>36.411370513677277</v>
      </c>
    </row>
    <row r="920" spans="1:22" x14ac:dyDescent="0.35">
      <c r="A920" t="s">
        <v>101</v>
      </c>
      <c r="B920" t="s">
        <v>12</v>
      </c>
      <c r="C920" t="s">
        <v>5</v>
      </c>
      <c r="D920">
        <v>0.68</v>
      </c>
      <c r="E920" t="s">
        <v>38</v>
      </c>
      <c r="F920" t="s">
        <v>34</v>
      </c>
      <c r="G920">
        <v>1</v>
      </c>
      <c r="H920">
        <v>18.873999999999999</v>
      </c>
      <c r="I920" t="s">
        <v>50</v>
      </c>
      <c r="J920" s="1">
        <v>44655</v>
      </c>
      <c r="K920">
        <v>44.935074273495601</v>
      </c>
      <c r="L920" s="1">
        <v>44676</v>
      </c>
      <c r="M920" s="1">
        <v>44679</v>
      </c>
      <c r="N920">
        <v>674.02611410243503</v>
      </c>
      <c r="O920">
        <v>3</v>
      </c>
      <c r="P920" t="str">
        <f>IF(Table1[[#This Row],[Delivery Delay]]&gt;0,"Late","On Time")</f>
        <v>Late</v>
      </c>
      <c r="Q920">
        <v>44.935074273495665</v>
      </c>
      <c r="R920">
        <v>2.4913737799871695E-2</v>
      </c>
      <c r="S920">
        <v>1.4836220423471978E-3</v>
      </c>
      <c r="T920">
        <v>0.68</v>
      </c>
      <c r="U920">
        <v>0</v>
      </c>
      <c r="V920">
        <v>20.942783417267847</v>
      </c>
    </row>
    <row r="921" spans="1:22" x14ac:dyDescent="0.35">
      <c r="A921" t="s">
        <v>102</v>
      </c>
      <c r="B921" t="s">
        <v>10</v>
      </c>
      <c r="C921" t="s">
        <v>9</v>
      </c>
      <c r="D921">
        <v>0.61</v>
      </c>
      <c r="E921" t="s">
        <v>35</v>
      </c>
      <c r="F921" t="s">
        <v>34</v>
      </c>
      <c r="G921">
        <v>1</v>
      </c>
      <c r="H921">
        <v>575.01220000000001</v>
      </c>
      <c r="I921" t="s">
        <v>45</v>
      </c>
      <c r="J921" s="1">
        <v>44523</v>
      </c>
      <c r="K921">
        <v>21.582095299403601</v>
      </c>
      <c r="L921" s="1">
        <v>44541</v>
      </c>
      <c r="M921" s="1">
        <v>44546</v>
      </c>
      <c r="N921">
        <v>388.47771538926497</v>
      </c>
      <c r="O921">
        <v>5</v>
      </c>
      <c r="P921" t="str">
        <f>IF(Table1[[#This Row],[Delivery Delay]]&gt;0,"Late","On Time")</f>
        <v>Late</v>
      </c>
      <c r="Q921">
        <v>21.582095299403608</v>
      </c>
      <c r="R921">
        <v>0.85385314215744368</v>
      </c>
      <c r="S921">
        <v>2.5741502289210426E-3</v>
      </c>
      <c r="T921">
        <v>0.61</v>
      </c>
      <c r="U921">
        <v>0</v>
      </c>
      <c r="V921">
        <v>35.454287350016507</v>
      </c>
    </row>
    <row r="922" spans="1:22" x14ac:dyDescent="0.35">
      <c r="A922" t="s">
        <v>99</v>
      </c>
      <c r="B922" t="s">
        <v>14</v>
      </c>
      <c r="C922" t="s">
        <v>9</v>
      </c>
      <c r="D922">
        <v>0.7</v>
      </c>
      <c r="E922" t="s">
        <v>37</v>
      </c>
      <c r="F922" t="s">
        <v>34</v>
      </c>
      <c r="G922">
        <v>1</v>
      </c>
      <c r="H922">
        <v>251.98400000000001</v>
      </c>
      <c r="I922" t="s">
        <v>51</v>
      </c>
      <c r="J922" s="1">
        <v>45187</v>
      </c>
      <c r="K922">
        <v>72.964698597219794</v>
      </c>
      <c r="L922" s="1">
        <v>45202</v>
      </c>
      <c r="M922" s="1">
        <v>45204</v>
      </c>
      <c r="N922">
        <v>875.57638316663702</v>
      </c>
      <c r="O922">
        <v>2</v>
      </c>
      <c r="P922" t="str">
        <f>IF(Table1[[#This Row],[Delivery Delay]]&gt;0,"Late","On Time")</f>
        <v>Late</v>
      </c>
      <c r="Q922">
        <v>72.964698597219751</v>
      </c>
      <c r="R922">
        <v>0.7701599100200498</v>
      </c>
      <c r="S922">
        <v>1.1421048114424565E-3</v>
      </c>
      <c r="T922">
        <v>0.7</v>
      </c>
      <c r="U922">
        <v>0</v>
      </c>
      <c r="V922">
        <v>36.437461344744271</v>
      </c>
    </row>
    <row r="923" spans="1:22" x14ac:dyDescent="0.35">
      <c r="A923" t="s">
        <v>103</v>
      </c>
      <c r="B923" t="s">
        <v>8</v>
      </c>
      <c r="C923" t="s">
        <v>7</v>
      </c>
      <c r="D923">
        <v>0.83</v>
      </c>
      <c r="E923" t="s">
        <v>38</v>
      </c>
      <c r="F923" t="s">
        <v>39</v>
      </c>
      <c r="G923">
        <v>0</v>
      </c>
      <c r="H923">
        <v>413.43199999999899</v>
      </c>
      <c r="I923" t="s">
        <v>51</v>
      </c>
      <c r="J923" s="1">
        <v>45019</v>
      </c>
      <c r="K923">
        <v>13.994869634427699</v>
      </c>
      <c r="L923" s="1">
        <v>45036</v>
      </c>
      <c r="M923" s="1">
        <v>45042</v>
      </c>
      <c r="N923">
        <v>181.93330524756001</v>
      </c>
      <c r="O923">
        <v>6</v>
      </c>
      <c r="P923" t="str">
        <f>IF(Table1[[#This Row],[Delivery Delay]]&gt;0,"Late","On Time")</f>
        <v>Late</v>
      </c>
      <c r="Q923">
        <v>13.994869634427694</v>
      </c>
      <c r="R923">
        <v>0.89249447361149459</v>
      </c>
      <c r="S923">
        <v>5.4965197199011006E-3</v>
      </c>
      <c r="T923">
        <v>0.83</v>
      </c>
      <c r="U923">
        <v>1</v>
      </c>
      <c r="V923">
        <v>62.914785063826926</v>
      </c>
    </row>
    <row r="924" spans="1:22" x14ac:dyDescent="0.35">
      <c r="A924" t="s">
        <v>104</v>
      </c>
      <c r="B924" t="s">
        <v>15</v>
      </c>
      <c r="C924" t="s">
        <v>7</v>
      </c>
      <c r="D924">
        <v>0.62</v>
      </c>
      <c r="E924" t="s">
        <v>35</v>
      </c>
      <c r="F924" t="s">
        <v>34</v>
      </c>
      <c r="G924">
        <v>1</v>
      </c>
      <c r="H924">
        <v>62.710199999999901</v>
      </c>
      <c r="I924" t="s">
        <v>50</v>
      </c>
      <c r="J924" s="1">
        <v>45056</v>
      </c>
      <c r="K924">
        <v>26.1267603526932</v>
      </c>
      <c r="L924" s="1">
        <v>45075</v>
      </c>
      <c r="M924" s="1">
        <v>45074</v>
      </c>
      <c r="N924">
        <v>313.52112423231802</v>
      </c>
      <c r="O924">
        <v>-1</v>
      </c>
      <c r="P924" t="str">
        <f>IF(Table1[[#This Row],[Delivery Delay]]&gt;0,"Late","On Time")</f>
        <v>On Time</v>
      </c>
      <c r="Q924">
        <v>26.126760352693168</v>
      </c>
      <c r="R924">
        <v>0.22787120067499916</v>
      </c>
      <c r="S924">
        <v>3.1895777436004714E-3</v>
      </c>
      <c r="T924">
        <v>0.62</v>
      </c>
      <c r="U924">
        <v>0</v>
      </c>
      <c r="V924">
        <v>23.253111345807998</v>
      </c>
    </row>
    <row r="925" spans="1:22" x14ac:dyDescent="0.35">
      <c r="A925" t="s">
        <v>105</v>
      </c>
      <c r="B925" t="s">
        <v>13</v>
      </c>
      <c r="C925" t="s">
        <v>9</v>
      </c>
      <c r="D925">
        <v>0.79</v>
      </c>
      <c r="E925" t="s">
        <v>38</v>
      </c>
      <c r="F925" t="s">
        <v>34</v>
      </c>
      <c r="G925">
        <v>1</v>
      </c>
      <c r="H925">
        <v>152.30879999999999</v>
      </c>
      <c r="I925" t="s">
        <v>51</v>
      </c>
      <c r="J925" s="1">
        <v>44435</v>
      </c>
      <c r="K925">
        <v>66.139927810257106</v>
      </c>
      <c r="L925" s="1">
        <v>44458</v>
      </c>
      <c r="M925" s="1">
        <v>44459</v>
      </c>
      <c r="N925">
        <v>793.67913372308499</v>
      </c>
      <c r="O925">
        <v>1</v>
      </c>
      <c r="P925" t="str">
        <f>IF(Table1[[#This Row],[Delivery Delay]]&gt;0,"Late","On Time")</f>
        <v>Late</v>
      </c>
      <c r="Q925">
        <v>66.139927810257078</v>
      </c>
      <c r="R925">
        <v>0.25671083927964661</v>
      </c>
      <c r="S925">
        <v>1.2599550089077943E-3</v>
      </c>
      <c r="T925">
        <v>0.79</v>
      </c>
      <c r="U925">
        <v>0</v>
      </c>
      <c r="V925">
        <v>28.872015435860167</v>
      </c>
    </row>
    <row r="926" spans="1:22" x14ac:dyDescent="0.35">
      <c r="A926" t="s">
        <v>106</v>
      </c>
      <c r="B926" t="s">
        <v>12</v>
      </c>
      <c r="C926" t="s">
        <v>9</v>
      </c>
      <c r="D926">
        <v>0.83</v>
      </c>
      <c r="E926" t="s">
        <v>36</v>
      </c>
      <c r="F926" t="s">
        <v>34</v>
      </c>
      <c r="G926">
        <v>1</v>
      </c>
      <c r="H926">
        <v>-160.185599999999</v>
      </c>
      <c r="I926" t="s">
        <v>51</v>
      </c>
      <c r="J926" s="1">
        <v>44541</v>
      </c>
      <c r="K926">
        <v>54.3969375542029</v>
      </c>
      <c r="L926" s="1">
        <v>44562</v>
      </c>
      <c r="M926" s="1">
        <v>44567</v>
      </c>
      <c r="N926">
        <v>652.763250650435</v>
      </c>
      <c r="O926">
        <v>5</v>
      </c>
      <c r="P926" t="str">
        <f>IF(Table1[[#This Row],[Delivery Delay]]&gt;0,"Late","On Time")</f>
        <v>Late</v>
      </c>
      <c r="Q926">
        <v>54.396937554202914</v>
      </c>
      <c r="R926">
        <v>0</v>
      </c>
      <c r="S926">
        <v>1.531948986104176E-3</v>
      </c>
      <c r="T926">
        <v>0.83</v>
      </c>
      <c r="U926">
        <v>0</v>
      </c>
      <c r="V926">
        <v>24.945958469583125</v>
      </c>
    </row>
    <row r="927" spans="1:22" x14ac:dyDescent="0.35">
      <c r="A927" t="s">
        <v>108</v>
      </c>
      <c r="B927" t="s">
        <v>12</v>
      </c>
      <c r="C927" t="s">
        <v>11</v>
      </c>
      <c r="D927">
        <v>0.73</v>
      </c>
      <c r="E927" t="s">
        <v>38</v>
      </c>
      <c r="F927" t="s">
        <v>34</v>
      </c>
      <c r="G927">
        <v>1</v>
      </c>
      <c r="H927">
        <v>261.48</v>
      </c>
      <c r="I927" t="s">
        <v>47</v>
      </c>
      <c r="J927" s="1">
        <v>44348</v>
      </c>
      <c r="K927">
        <v>42.336624563572698</v>
      </c>
      <c r="L927" s="1">
        <v>44370</v>
      </c>
      <c r="M927" s="1">
        <v>44375</v>
      </c>
      <c r="N927">
        <v>381.02962107215399</v>
      </c>
      <c r="O927">
        <v>5</v>
      </c>
      <c r="P927" t="str">
        <f>IF(Table1[[#This Row],[Delivery Delay]]&gt;0,"Late","On Time")</f>
        <v>Late</v>
      </c>
      <c r="Q927">
        <v>42.336624563572663</v>
      </c>
      <c r="R927">
        <v>0.62561010623026136</v>
      </c>
      <c r="S927">
        <v>2.6244678751908218E-3</v>
      </c>
      <c r="T927">
        <v>0.73</v>
      </c>
      <c r="U927">
        <v>0</v>
      </c>
      <c r="V927">
        <v>34.490936160860954</v>
      </c>
    </row>
    <row r="928" spans="1:22" x14ac:dyDescent="0.35">
      <c r="A928" t="s">
        <v>102</v>
      </c>
      <c r="B928" t="s">
        <v>15</v>
      </c>
      <c r="C928" t="s">
        <v>9</v>
      </c>
      <c r="D928">
        <v>0.9</v>
      </c>
      <c r="E928" t="s">
        <v>35</v>
      </c>
      <c r="F928" t="s">
        <v>34</v>
      </c>
      <c r="G928">
        <v>1</v>
      </c>
      <c r="H928">
        <v>383.33999999999901</v>
      </c>
      <c r="I928" t="s">
        <v>50</v>
      </c>
      <c r="J928" s="1">
        <v>44599</v>
      </c>
      <c r="K928">
        <v>21.242869183196198</v>
      </c>
      <c r="L928" s="1">
        <v>44618</v>
      </c>
      <c r="M928" s="1">
        <v>44618</v>
      </c>
      <c r="N928">
        <v>233.67156101515801</v>
      </c>
      <c r="O928">
        <v>0</v>
      </c>
      <c r="P928" t="str">
        <f>IF(Table1[[#This Row],[Delivery Delay]]&gt;0,"Late","On Time")</f>
        <v>On Time</v>
      </c>
      <c r="Q928">
        <v>21.242869183196181</v>
      </c>
      <c r="R928">
        <v>0.34277589999463404</v>
      </c>
      <c r="S928">
        <v>4.2795109325911131E-3</v>
      </c>
      <c r="T928">
        <v>0.9</v>
      </c>
      <c r="U928">
        <v>0</v>
      </c>
      <c r="V928">
        <v>33.983903327870415</v>
      </c>
    </row>
    <row r="929" spans="1:22" x14ac:dyDescent="0.35">
      <c r="A929" t="s">
        <v>99</v>
      </c>
      <c r="B929" t="s">
        <v>10</v>
      </c>
      <c r="C929" t="s">
        <v>11</v>
      </c>
      <c r="D929">
        <v>0.64</v>
      </c>
      <c r="E929" t="s">
        <v>38</v>
      </c>
      <c r="F929" t="s">
        <v>34</v>
      </c>
      <c r="G929">
        <v>1</v>
      </c>
      <c r="H929">
        <v>515.06880000000001</v>
      </c>
      <c r="I929" t="s">
        <v>49</v>
      </c>
      <c r="J929" s="1">
        <v>44397</v>
      </c>
      <c r="K929">
        <v>72.785943452896404</v>
      </c>
      <c r="L929" s="1">
        <v>44413</v>
      </c>
      <c r="M929" s="1">
        <v>44419</v>
      </c>
      <c r="N929">
        <v>582.28754762317101</v>
      </c>
      <c r="O929">
        <v>6</v>
      </c>
      <c r="P929" t="str">
        <f>IF(Table1[[#This Row],[Delivery Delay]]&gt;0,"Late","On Time")</f>
        <v>Late</v>
      </c>
      <c r="Q929">
        <v>72.785943452896376</v>
      </c>
      <c r="R929">
        <v>0.89603861184408296</v>
      </c>
      <c r="S929">
        <v>1.7173645634049395E-3</v>
      </c>
      <c r="T929">
        <v>0.64</v>
      </c>
      <c r="U929">
        <v>0</v>
      </c>
      <c r="V929">
        <v>37.172293173783814</v>
      </c>
    </row>
    <row r="930" spans="1:22" x14ac:dyDescent="0.35">
      <c r="A930" t="s">
        <v>103</v>
      </c>
      <c r="B930" t="s">
        <v>6</v>
      </c>
      <c r="C930" t="s">
        <v>5</v>
      </c>
      <c r="D930">
        <v>0.63</v>
      </c>
      <c r="E930" t="s">
        <v>36</v>
      </c>
      <c r="F930" t="s">
        <v>34</v>
      </c>
      <c r="G930">
        <v>1</v>
      </c>
      <c r="H930">
        <v>-27.569999999999901</v>
      </c>
      <c r="I930" t="s">
        <v>49</v>
      </c>
      <c r="J930" s="1">
        <v>44942</v>
      </c>
      <c r="K930">
        <v>45.8455534159121</v>
      </c>
      <c r="L930" s="1">
        <v>44954</v>
      </c>
      <c r="M930" s="1">
        <v>44956</v>
      </c>
      <c r="N930">
        <v>595.99219440685704</v>
      </c>
      <c r="O930">
        <v>2</v>
      </c>
      <c r="P930" t="str">
        <f>IF(Table1[[#This Row],[Delivery Delay]]&gt;0,"Late","On Time")</f>
        <v>Late</v>
      </c>
      <c r="Q930">
        <v>45.845553415912079</v>
      </c>
      <c r="R930">
        <v>0</v>
      </c>
      <c r="S930">
        <v>1.6778743234971715E-3</v>
      </c>
      <c r="T930">
        <v>0.63</v>
      </c>
      <c r="U930">
        <v>0</v>
      </c>
      <c r="V930">
        <v>18.950336229704913</v>
      </c>
    </row>
    <row r="931" spans="1:22" x14ac:dyDescent="0.35">
      <c r="A931" t="s">
        <v>104</v>
      </c>
      <c r="B931" t="s">
        <v>8</v>
      </c>
      <c r="C931" t="s">
        <v>9</v>
      </c>
      <c r="D931">
        <v>0.88</v>
      </c>
      <c r="E931" t="s">
        <v>35</v>
      </c>
      <c r="F931" t="s">
        <v>34</v>
      </c>
      <c r="G931">
        <v>1</v>
      </c>
      <c r="H931">
        <v>441.85119999999898</v>
      </c>
      <c r="I931" t="s">
        <v>51</v>
      </c>
      <c r="J931" s="1">
        <v>45112</v>
      </c>
      <c r="K931">
        <v>78.964114537796704</v>
      </c>
      <c r="L931" s="1">
        <v>45130</v>
      </c>
      <c r="M931" s="1">
        <v>45131</v>
      </c>
      <c r="N931">
        <v>789.64114537796695</v>
      </c>
      <c r="O931">
        <v>1</v>
      </c>
      <c r="P931" t="str">
        <f>IF(Table1[[#This Row],[Delivery Delay]]&gt;0,"Late","On Time")</f>
        <v>Late</v>
      </c>
      <c r="Q931">
        <v>78.964114537796689</v>
      </c>
      <c r="R931">
        <v>0.62053290549892992</v>
      </c>
      <c r="S931">
        <v>1.2663980415069979E-3</v>
      </c>
      <c r="T931">
        <v>0.88</v>
      </c>
      <c r="U931">
        <v>0</v>
      </c>
      <c r="V931">
        <v>38.848650051223807</v>
      </c>
    </row>
    <row r="932" spans="1:22" x14ac:dyDescent="0.35">
      <c r="A932" t="s">
        <v>105</v>
      </c>
      <c r="B932" t="s">
        <v>4</v>
      </c>
      <c r="C932" t="s">
        <v>5</v>
      </c>
      <c r="D932">
        <v>0.79</v>
      </c>
      <c r="E932" t="s">
        <v>38</v>
      </c>
      <c r="F932" t="s">
        <v>34</v>
      </c>
      <c r="G932">
        <v>1</v>
      </c>
      <c r="H932">
        <v>304.56779999999998</v>
      </c>
      <c r="I932" t="s">
        <v>49</v>
      </c>
      <c r="J932" s="1">
        <v>44542</v>
      </c>
      <c r="K932">
        <v>61.406988726185197</v>
      </c>
      <c r="L932" s="1">
        <v>44557</v>
      </c>
      <c r="M932" s="1">
        <v>44563</v>
      </c>
      <c r="N932">
        <v>1043.91880834514</v>
      </c>
      <c r="O932">
        <v>6</v>
      </c>
      <c r="P932" t="str">
        <f>IF(Table1[[#This Row],[Delivery Delay]]&gt;0,"Late","On Time")</f>
        <v>Late</v>
      </c>
      <c r="Q932">
        <v>61.4069887261847</v>
      </c>
      <c r="R932">
        <v>0.40501694309402358</v>
      </c>
      <c r="S932">
        <v>9.5792890405455792E-4</v>
      </c>
      <c r="T932">
        <v>0.79</v>
      </c>
      <c r="U932">
        <v>0</v>
      </c>
      <c r="V932">
        <v>31.829076729002111</v>
      </c>
    </row>
    <row r="933" spans="1:22" x14ac:dyDescent="0.35">
      <c r="A933" t="s">
        <v>106</v>
      </c>
      <c r="B933" t="s">
        <v>14</v>
      </c>
      <c r="C933" t="s">
        <v>7</v>
      </c>
      <c r="D933">
        <v>0.87</v>
      </c>
      <c r="E933" t="s">
        <v>36</v>
      </c>
      <c r="F933" t="s">
        <v>34</v>
      </c>
      <c r="G933">
        <v>1</v>
      </c>
      <c r="H933">
        <v>60.451599999999999</v>
      </c>
      <c r="I933" t="s">
        <v>49</v>
      </c>
      <c r="J933" s="1">
        <v>44947</v>
      </c>
      <c r="K933">
        <v>70.319145110742099</v>
      </c>
      <c r="L933" s="1">
        <v>44960</v>
      </c>
      <c r="M933" s="1">
        <v>44964</v>
      </c>
      <c r="N933">
        <v>984.46803155038901</v>
      </c>
      <c r="O933">
        <v>4</v>
      </c>
      <c r="P933" t="str">
        <f>IF(Table1[[#This Row],[Delivery Delay]]&gt;0,"Late","On Time")</f>
        <v>Late</v>
      </c>
      <c r="Q933">
        <v>70.31914511074207</v>
      </c>
      <c r="R933">
        <v>0.26751857313042876</v>
      </c>
      <c r="S933">
        <v>1.0157770165732558E-3</v>
      </c>
      <c r="T933">
        <v>0.87</v>
      </c>
      <c r="U933">
        <v>0</v>
      </c>
      <c r="V933">
        <v>31.480844773105776</v>
      </c>
    </row>
    <row r="934" spans="1:22" x14ac:dyDescent="0.35">
      <c r="A934" t="s">
        <v>108</v>
      </c>
      <c r="B934" t="s">
        <v>4</v>
      </c>
      <c r="C934" t="s">
        <v>7</v>
      </c>
      <c r="D934">
        <v>0.77</v>
      </c>
      <c r="E934" t="s">
        <v>37</v>
      </c>
      <c r="F934" t="s">
        <v>34</v>
      </c>
      <c r="G934">
        <v>1</v>
      </c>
      <c r="H934">
        <v>271.55359999999899</v>
      </c>
      <c r="I934" t="s">
        <v>51</v>
      </c>
      <c r="J934" s="1">
        <v>45207</v>
      </c>
      <c r="K934">
        <v>76.222684235277001</v>
      </c>
      <c r="L934" s="1">
        <v>45217</v>
      </c>
      <c r="M934" s="1">
        <v>45220</v>
      </c>
      <c r="N934">
        <v>990.89489505860195</v>
      </c>
      <c r="O934">
        <v>3</v>
      </c>
      <c r="P934" t="str">
        <f>IF(Table1[[#This Row],[Delivery Delay]]&gt;0,"Late","On Time")</f>
        <v>Late</v>
      </c>
      <c r="Q934">
        <v>76.222684235277072</v>
      </c>
      <c r="R934">
        <v>0.18107030569036581</v>
      </c>
      <c r="S934">
        <v>1.0091887696533743E-3</v>
      </c>
      <c r="T934">
        <v>0.77</v>
      </c>
      <c r="U934">
        <v>0</v>
      </c>
      <c r="V934">
        <v>26.75168177689692</v>
      </c>
    </row>
    <row r="935" spans="1:22" x14ac:dyDescent="0.35">
      <c r="A935" t="s">
        <v>107</v>
      </c>
      <c r="B935" t="s">
        <v>15</v>
      </c>
      <c r="C935" t="s">
        <v>9</v>
      </c>
      <c r="D935">
        <v>0.7</v>
      </c>
      <c r="E935" t="s">
        <v>36</v>
      </c>
      <c r="F935" t="s">
        <v>34</v>
      </c>
      <c r="G935">
        <v>1</v>
      </c>
      <c r="H935">
        <v>430.399799999999</v>
      </c>
      <c r="I935" t="s">
        <v>49</v>
      </c>
      <c r="J935" s="1">
        <v>44930</v>
      </c>
      <c r="K935">
        <v>48.9609990193334</v>
      </c>
      <c r="L935" s="1">
        <v>44949</v>
      </c>
      <c r="M935" s="1">
        <v>44947</v>
      </c>
      <c r="N935">
        <v>293.765994116</v>
      </c>
      <c r="O935">
        <v>-2</v>
      </c>
      <c r="P935" t="str">
        <f>IF(Table1[[#This Row],[Delivery Delay]]&gt;0,"Late","On Time")</f>
        <v>On Time</v>
      </c>
      <c r="Q935">
        <v>48.960999019333336</v>
      </c>
      <c r="R935">
        <v>0.8610065859832684</v>
      </c>
      <c r="S935">
        <v>3.40406997416157E-3</v>
      </c>
      <c r="T935">
        <v>0.7</v>
      </c>
      <c r="U935">
        <v>0</v>
      </c>
      <c r="V935">
        <v>38.322253818890218</v>
      </c>
    </row>
    <row r="936" spans="1:22" x14ac:dyDescent="0.35">
      <c r="A936" t="s">
        <v>100</v>
      </c>
      <c r="B936" t="s">
        <v>12</v>
      </c>
      <c r="C936" t="s">
        <v>9</v>
      </c>
      <c r="D936">
        <v>0.92</v>
      </c>
      <c r="E936" t="s">
        <v>38</v>
      </c>
      <c r="F936" t="s">
        <v>34</v>
      </c>
      <c r="G936">
        <v>1</v>
      </c>
      <c r="H936">
        <v>646.11</v>
      </c>
      <c r="I936" t="s">
        <v>45</v>
      </c>
      <c r="J936" s="1">
        <v>44431</v>
      </c>
      <c r="K936">
        <v>46.801210101094597</v>
      </c>
      <c r="L936" s="1">
        <v>44446</v>
      </c>
      <c r="M936" s="1">
        <v>44446</v>
      </c>
      <c r="N936">
        <v>514.81331111204099</v>
      </c>
      <c r="O936">
        <v>0</v>
      </c>
      <c r="P936" t="str">
        <f>IF(Table1[[#This Row],[Delivery Delay]]&gt;0,"Late","On Time")</f>
        <v>On Time</v>
      </c>
      <c r="Q936">
        <v>46.801210101094632</v>
      </c>
      <c r="R936">
        <v>0.44284137874312035</v>
      </c>
      <c r="S936">
        <v>1.9424517167979088E-3</v>
      </c>
      <c r="T936">
        <v>0.92</v>
      </c>
      <c r="U936">
        <v>0</v>
      </c>
      <c r="V936">
        <v>36.515101126366346</v>
      </c>
    </row>
    <row r="937" spans="1:22" x14ac:dyDescent="0.35">
      <c r="A937" t="s">
        <v>101</v>
      </c>
      <c r="B937" t="s">
        <v>10</v>
      </c>
      <c r="C937" t="s">
        <v>5</v>
      </c>
      <c r="D937">
        <v>0.91</v>
      </c>
      <c r="E937" t="s">
        <v>35</v>
      </c>
      <c r="F937" t="s">
        <v>34</v>
      </c>
      <c r="G937">
        <v>1</v>
      </c>
      <c r="H937">
        <v>760.71359999999902</v>
      </c>
      <c r="I937" t="s">
        <v>46</v>
      </c>
      <c r="J937" s="1">
        <v>45272</v>
      </c>
      <c r="K937">
        <v>50.569539994648103</v>
      </c>
      <c r="L937" s="1">
        <v>45293</v>
      </c>
      <c r="M937" s="1">
        <v>45290</v>
      </c>
      <c r="N937">
        <v>657.40401993042497</v>
      </c>
      <c r="O937">
        <v>-3</v>
      </c>
      <c r="P937" t="str">
        <f>IF(Table1[[#This Row],[Delivery Delay]]&gt;0,"Late","On Time")</f>
        <v>On Time</v>
      </c>
      <c r="Q937">
        <v>50.569539994648075</v>
      </c>
      <c r="R937">
        <v>0.6493868709246563</v>
      </c>
      <c r="S937">
        <v>1.5211345986381906E-3</v>
      </c>
      <c r="T937">
        <v>0.91</v>
      </c>
      <c r="U937">
        <v>0</v>
      </c>
      <c r="V937">
        <v>40.333371456452269</v>
      </c>
    </row>
    <row r="938" spans="1:22" x14ac:dyDescent="0.35">
      <c r="A938" t="s">
        <v>102</v>
      </c>
      <c r="B938" t="s">
        <v>12</v>
      </c>
      <c r="C938" t="s">
        <v>11</v>
      </c>
      <c r="D938">
        <v>0.87</v>
      </c>
      <c r="E938" t="s">
        <v>36</v>
      </c>
      <c r="F938" t="s">
        <v>34</v>
      </c>
      <c r="G938">
        <v>1</v>
      </c>
      <c r="H938">
        <v>169.10879999999901</v>
      </c>
      <c r="I938" t="s">
        <v>50</v>
      </c>
      <c r="J938" s="1">
        <v>45354</v>
      </c>
      <c r="K938">
        <v>39.331025244566298</v>
      </c>
      <c r="L938" s="1">
        <v>45368</v>
      </c>
      <c r="M938" s="1">
        <v>45372</v>
      </c>
      <c r="N938">
        <v>393.31025244566302</v>
      </c>
      <c r="O938">
        <v>4</v>
      </c>
      <c r="P938" t="str">
        <f>IF(Table1[[#This Row],[Delivery Delay]]&gt;0,"Late","On Time")</f>
        <v>Late</v>
      </c>
      <c r="Q938">
        <v>39.331025244566305</v>
      </c>
      <c r="R938">
        <v>0.1409241409241401</v>
      </c>
      <c r="S938">
        <v>2.542522077118122E-3</v>
      </c>
      <c r="T938">
        <v>0.87</v>
      </c>
      <c r="U938">
        <v>0</v>
      </c>
      <c r="V938">
        <v>28.994758480796349</v>
      </c>
    </row>
    <row r="939" spans="1:22" x14ac:dyDescent="0.35">
      <c r="A939" t="s">
        <v>99</v>
      </c>
      <c r="B939" t="s">
        <v>14</v>
      </c>
      <c r="C939" t="s">
        <v>7</v>
      </c>
      <c r="D939">
        <v>0.71</v>
      </c>
      <c r="E939" t="s">
        <v>37</v>
      </c>
      <c r="F939" t="s">
        <v>34</v>
      </c>
      <c r="G939">
        <v>1</v>
      </c>
      <c r="H939">
        <v>41.005799999999901</v>
      </c>
      <c r="I939" t="s">
        <v>46</v>
      </c>
      <c r="J939" s="1">
        <v>44788</v>
      </c>
      <c r="K939">
        <v>44.349199773461201</v>
      </c>
      <c r="L939" s="1">
        <v>44798</v>
      </c>
      <c r="M939" s="1">
        <v>44796</v>
      </c>
      <c r="N939">
        <v>266.09519864076702</v>
      </c>
      <c r="O939">
        <v>-2</v>
      </c>
      <c r="P939" t="str">
        <f>IF(Table1[[#This Row],[Delivery Delay]]&gt;0,"Late","On Time")</f>
        <v>On Time</v>
      </c>
      <c r="Q939">
        <v>44.349199773461173</v>
      </c>
      <c r="R939">
        <v>0.13080175236797401</v>
      </c>
      <c r="S939">
        <v>3.7580535278654791E-3</v>
      </c>
      <c r="T939">
        <v>0.71</v>
      </c>
      <c r="U939">
        <v>0</v>
      </c>
      <c r="V939">
        <v>24.028776653195443</v>
      </c>
    </row>
    <row r="940" spans="1:22" x14ac:dyDescent="0.35">
      <c r="A940" t="s">
        <v>103</v>
      </c>
      <c r="B940" t="s">
        <v>12</v>
      </c>
      <c r="C940" t="s">
        <v>7</v>
      </c>
      <c r="D940">
        <v>0.83</v>
      </c>
      <c r="E940" t="s">
        <v>36</v>
      </c>
      <c r="F940" t="s">
        <v>39</v>
      </c>
      <c r="G940">
        <v>0</v>
      </c>
      <c r="H940">
        <v>243.479999999999</v>
      </c>
      <c r="I940" t="s">
        <v>51</v>
      </c>
      <c r="J940" s="1">
        <v>45377</v>
      </c>
      <c r="K940">
        <v>33.598397872828002</v>
      </c>
      <c r="L940" s="1">
        <v>45395</v>
      </c>
      <c r="M940" s="1">
        <v>45392</v>
      </c>
      <c r="N940">
        <v>571.17276383807598</v>
      </c>
      <c r="O940">
        <v>-3</v>
      </c>
      <c r="P940" t="str">
        <f>IF(Table1[[#This Row],[Delivery Delay]]&gt;0,"Late","On Time")</f>
        <v>On Time</v>
      </c>
      <c r="Q940">
        <v>33.598397872828002</v>
      </c>
      <c r="R940">
        <v>0.34595055413469594</v>
      </c>
      <c r="S940">
        <v>1.7507837616071867E-3</v>
      </c>
      <c r="T940">
        <v>0.83</v>
      </c>
      <c r="U940">
        <v>1</v>
      </c>
      <c r="V940">
        <v>51.871534595542137</v>
      </c>
    </row>
    <row r="941" spans="1:22" x14ac:dyDescent="0.35">
      <c r="A941" t="s">
        <v>104</v>
      </c>
      <c r="B941" t="s">
        <v>12</v>
      </c>
      <c r="C941" t="s">
        <v>11</v>
      </c>
      <c r="D941">
        <v>0.74</v>
      </c>
      <c r="E941" t="s">
        <v>38</v>
      </c>
      <c r="F941" t="s">
        <v>34</v>
      </c>
      <c r="G941">
        <v>1</v>
      </c>
      <c r="H941">
        <v>708.74399999999901</v>
      </c>
      <c r="I941" t="s">
        <v>47</v>
      </c>
      <c r="J941" s="1">
        <v>45291</v>
      </c>
      <c r="K941">
        <v>53.590475238840902</v>
      </c>
      <c r="L941" s="1">
        <v>45307</v>
      </c>
      <c r="M941" s="1">
        <v>45305</v>
      </c>
      <c r="N941">
        <v>535.90475238840895</v>
      </c>
      <c r="O941">
        <v>-2</v>
      </c>
      <c r="P941" t="str">
        <f>IF(Table1[[#This Row],[Delivery Delay]]&gt;0,"Late","On Time")</f>
        <v>On Time</v>
      </c>
      <c r="Q941">
        <v>53.590475238840895</v>
      </c>
      <c r="R941">
        <v>0.85955873792059601</v>
      </c>
      <c r="S941">
        <v>1.866003231998263E-3</v>
      </c>
      <c r="T941">
        <v>0.74</v>
      </c>
      <c r="U941">
        <v>0</v>
      </c>
      <c r="V941">
        <v>39.44715485537187</v>
      </c>
    </row>
    <row r="942" spans="1:22" x14ac:dyDescent="0.35">
      <c r="A942" t="s">
        <v>105</v>
      </c>
      <c r="B942" t="s">
        <v>14</v>
      </c>
      <c r="C942" t="s">
        <v>5</v>
      </c>
      <c r="D942">
        <v>0.64</v>
      </c>
      <c r="E942" t="s">
        <v>36</v>
      </c>
      <c r="F942" t="s">
        <v>39</v>
      </c>
      <c r="G942">
        <v>0</v>
      </c>
      <c r="H942">
        <v>270.66719999999901</v>
      </c>
      <c r="I942" t="s">
        <v>50</v>
      </c>
      <c r="J942" s="1">
        <v>44388</v>
      </c>
      <c r="K942">
        <v>19.7974276515348</v>
      </c>
      <c r="L942" s="1">
        <v>44398</v>
      </c>
      <c r="M942" s="1">
        <v>44402</v>
      </c>
      <c r="N942">
        <v>257.36655946995199</v>
      </c>
      <c r="O942">
        <v>4</v>
      </c>
      <c r="P942" t="str">
        <f>IF(Table1[[#This Row],[Delivery Delay]]&gt;0,"Late","On Time")</f>
        <v>Late</v>
      </c>
      <c r="Q942">
        <v>19.797427651534768</v>
      </c>
      <c r="R942">
        <v>0.26481292764594716</v>
      </c>
      <c r="S942">
        <v>3.8855086770383305E-3</v>
      </c>
      <c r="T942">
        <v>0.64</v>
      </c>
      <c r="U942">
        <v>1</v>
      </c>
      <c r="V942">
        <v>44.612823813230094</v>
      </c>
    </row>
    <row r="943" spans="1:22" x14ac:dyDescent="0.35">
      <c r="A943" t="s">
        <v>106</v>
      </c>
      <c r="B943" t="s">
        <v>8</v>
      </c>
      <c r="C943" t="s">
        <v>5</v>
      </c>
      <c r="D943">
        <v>0.96</v>
      </c>
      <c r="E943" t="s">
        <v>35</v>
      </c>
      <c r="F943" t="s">
        <v>34</v>
      </c>
      <c r="G943">
        <v>1</v>
      </c>
      <c r="H943">
        <v>466.80829999999997</v>
      </c>
      <c r="I943" t="s">
        <v>51</v>
      </c>
      <c r="J943" s="1">
        <v>45313</v>
      </c>
      <c r="K943">
        <v>57.656715960264002</v>
      </c>
      <c r="L943" s="1">
        <v>45334</v>
      </c>
      <c r="M943" s="1">
        <v>45339</v>
      </c>
      <c r="N943">
        <v>288.28357980132</v>
      </c>
      <c r="O943">
        <v>5</v>
      </c>
      <c r="P943" t="str">
        <f>IF(Table1[[#This Row],[Delivery Delay]]&gt;0,"Late","On Time")</f>
        <v>Late</v>
      </c>
      <c r="Q943">
        <v>57.656715960264002</v>
      </c>
      <c r="R943">
        <v>0.37854386947831853</v>
      </c>
      <c r="S943">
        <v>3.4688066545072822E-3</v>
      </c>
      <c r="T943">
        <v>0.96</v>
      </c>
      <c r="U943">
        <v>0</v>
      </c>
      <c r="V943">
        <v>36.474941589201585</v>
      </c>
    </row>
    <row r="944" spans="1:22" x14ac:dyDescent="0.35">
      <c r="A944" t="s">
        <v>108</v>
      </c>
      <c r="B944" t="s">
        <v>8</v>
      </c>
      <c r="C944" t="s">
        <v>9</v>
      </c>
      <c r="D944">
        <v>0.65</v>
      </c>
      <c r="E944" t="s">
        <v>35</v>
      </c>
      <c r="F944" t="s">
        <v>34</v>
      </c>
      <c r="G944">
        <v>1</v>
      </c>
      <c r="H944">
        <v>803.02599999999995</v>
      </c>
      <c r="I944" t="s">
        <v>47</v>
      </c>
      <c r="J944" s="1">
        <v>44626</v>
      </c>
      <c r="K944">
        <v>24.396748536321098</v>
      </c>
      <c r="L944" s="1">
        <v>44649</v>
      </c>
      <c r="M944" s="1">
        <v>44647</v>
      </c>
      <c r="N944">
        <v>219.57073682689</v>
      </c>
      <c r="O944">
        <v>-2</v>
      </c>
      <c r="P944" t="str">
        <f>IF(Table1[[#This Row],[Delivery Delay]]&gt;0,"Late","On Time")</f>
        <v>On Time</v>
      </c>
      <c r="Q944">
        <v>24.396748536321113</v>
      </c>
      <c r="R944">
        <v>0.68929507054101469</v>
      </c>
      <c r="S944">
        <v>4.5543409584146996E-3</v>
      </c>
      <c r="T944">
        <v>0.65</v>
      </c>
      <c r="U944">
        <v>0</v>
      </c>
      <c r="V944">
        <v>33.422531639572739</v>
      </c>
    </row>
    <row r="945" spans="1:22" x14ac:dyDescent="0.35">
      <c r="A945" t="s">
        <v>102</v>
      </c>
      <c r="B945" t="s">
        <v>14</v>
      </c>
      <c r="C945" t="s">
        <v>9</v>
      </c>
      <c r="D945">
        <v>0.97</v>
      </c>
      <c r="E945" t="s">
        <v>35</v>
      </c>
      <c r="F945" t="s">
        <v>34</v>
      </c>
      <c r="G945">
        <v>1</v>
      </c>
      <c r="H945">
        <v>-52.721999999999902</v>
      </c>
      <c r="I945" t="s">
        <v>46</v>
      </c>
      <c r="J945" s="1">
        <v>44767</v>
      </c>
      <c r="K945">
        <v>12.5441239764553</v>
      </c>
      <c r="L945" s="1">
        <v>44785</v>
      </c>
      <c r="M945" s="1">
        <v>44791</v>
      </c>
      <c r="N945">
        <v>112.897115788097</v>
      </c>
      <c r="O945">
        <v>6</v>
      </c>
      <c r="P945" t="str">
        <f>IF(Table1[[#This Row],[Delivery Delay]]&gt;0,"Late","On Time")</f>
        <v>Late</v>
      </c>
      <c r="Q945">
        <v>12.544123976455221</v>
      </c>
      <c r="R945">
        <v>0</v>
      </c>
      <c r="S945">
        <v>8.8576222077892293E-3</v>
      </c>
      <c r="T945">
        <v>0.97</v>
      </c>
      <c r="U945">
        <v>0</v>
      </c>
      <c r="V945">
        <v>29.365728666233675</v>
      </c>
    </row>
    <row r="946" spans="1:22" x14ac:dyDescent="0.35">
      <c r="A946" t="s">
        <v>99</v>
      </c>
      <c r="B946" t="s">
        <v>10</v>
      </c>
      <c r="C946" t="s">
        <v>9</v>
      </c>
      <c r="D946">
        <v>0.77</v>
      </c>
      <c r="E946" t="s">
        <v>37</v>
      </c>
      <c r="F946" t="s">
        <v>34</v>
      </c>
      <c r="G946">
        <v>1</v>
      </c>
      <c r="H946">
        <v>301.26</v>
      </c>
      <c r="I946" t="s">
        <v>51</v>
      </c>
      <c r="J946" s="1">
        <v>45222</v>
      </c>
      <c r="K946">
        <v>50.916990371373601</v>
      </c>
      <c r="L946" s="1">
        <v>45237</v>
      </c>
      <c r="M946" s="1">
        <v>45236</v>
      </c>
      <c r="N946">
        <v>967.42281705609901</v>
      </c>
      <c r="O946">
        <v>-1</v>
      </c>
      <c r="P946" t="str">
        <f>IF(Table1[[#This Row],[Delivery Delay]]&gt;0,"Late","On Time")</f>
        <v>On Time</v>
      </c>
      <c r="Q946">
        <v>50.916990371373629</v>
      </c>
      <c r="R946">
        <v>0.31065418247813892</v>
      </c>
      <c r="S946">
        <v>1.0336741932995073E-3</v>
      </c>
      <c r="T946">
        <v>0.77</v>
      </c>
      <c r="U946">
        <v>0</v>
      </c>
      <c r="V946">
        <v>29.344093875361764</v>
      </c>
    </row>
    <row r="947" spans="1:22" x14ac:dyDescent="0.35">
      <c r="A947" t="s">
        <v>103</v>
      </c>
      <c r="B947" t="s">
        <v>15</v>
      </c>
      <c r="C947" t="s">
        <v>7</v>
      </c>
      <c r="D947">
        <v>0.67</v>
      </c>
      <c r="E947" t="s">
        <v>35</v>
      </c>
      <c r="F947" t="s">
        <v>34</v>
      </c>
      <c r="G947">
        <v>1</v>
      </c>
      <c r="H947">
        <v>743.57079999999996</v>
      </c>
      <c r="I947" t="s">
        <v>50</v>
      </c>
      <c r="J947" s="1">
        <v>45165</v>
      </c>
      <c r="K947">
        <v>65.253314613269396</v>
      </c>
      <c r="L947" s="1">
        <v>45178</v>
      </c>
      <c r="M947" s="1">
        <v>45179</v>
      </c>
      <c r="N947">
        <v>1044.0530338123101</v>
      </c>
      <c r="O947">
        <v>1</v>
      </c>
      <c r="P947" t="str">
        <f>IF(Table1[[#This Row],[Delivery Delay]]&gt;0,"Late","On Time")</f>
        <v>Late</v>
      </c>
      <c r="Q947">
        <v>65.253314613269382</v>
      </c>
      <c r="R947">
        <v>0.61127761051109941</v>
      </c>
      <c r="S947">
        <v>9.5780575087124403E-4</v>
      </c>
      <c r="T947">
        <v>0.67</v>
      </c>
      <c r="U947">
        <v>0</v>
      </c>
      <c r="V947">
        <v>32.354286382748128</v>
      </c>
    </row>
    <row r="948" spans="1:22" x14ac:dyDescent="0.35">
      <c r="A948" t="s">
        <v>104</v>
      </c>
      <c r="B948" t="s">
        <v>13</v>
      </c>
      <c r="C948" t="s">
        <v>9</v>
      </c>
      <c r="D948">
        <v>0.81</v>
      </c>
      <c r="E948" t="s">
        <v>35</v>
      </c>
      <c r="F948" t="s">
        <v>34</v>
      </c>
      <c r="G948">
        <v>1</v>
      </c>
      <c r="H948">
        <v>714.36599999999999</v>
      </c>
      <c r="I948" t="s">
        <v>50</v>
      </c>
      <c r="J948" s="1">
        <v>44656</v>
      </c>
      <c r="K948">
        <v>31.600644196205401</v>
      </c>
      <c r="L948" s="1">
        <v>44680</v>
      </c>
      <c r="M948" s="1">
        <v>44684</v>
      </c>
      <c r="N948">
        <v>379.20773035446501</v>
      </c>
      <c r="O948">
        <v>4</v>
      </c>
      <c r="P948" t="str">
        <f>IF(Table1[[#This Row],[Delivery Delay]]&gt;0,"Late","On Time")</f>
        <v>Late</v>
      </c>
      <c r="Q948">
        <v>31.600644196205419</v>
      </c>
      <c r="R948">
        <v>0.37166376355565545</v>
      </c>
      <c r="S948">
        <v>2.6370770423515587E-3</v>
      </c>
      <c r="T948">
        <v>0.81</v>
      </c>
      <c r="U948">
        <v>0</v>
      </c>
      <c r="V948">
        <v>31.812387582383657</v>
      </c>
    </row>
    <row r="949" spans="1:22" x14ac:dyDescent="0.35">
      <c r="A949" t="s">
        <v>105</v>
      </c>
      <c r="B949" t="s">
        <v>12</v>
      </c>
      <c r="C949" t="s">
        <v>5</v>
      </c>
      <c r="D949">
        <v>0.94</v>
      </c>
      <c r="E949" t="s">
        <v>38</v>
      </c>
      <c r="F949" t="s">
        <v>34</v>
      </c>
      <c r="G949">
        <v>1</v>
      </c>
      <c r="H949">
        <v>64.679599999999994</v>
      </c>
      <c r="I949" t="s">
        <v>48</v>
      </c>
      <c r="J949" s="1">
        <v>44778</v>
      </c>
      <c r="K949">
        <v>44.121188608549502</v>
      </c>
      <c r="L949" s="1">
        <v>44802</v>
      </c>
      <c r="M949" s="1">
        <v>44803</v>
      </c>
      <c r="N949">
        <v>705.93901773679204</v>
      </c>
      <c r="O949">
        <v>1</v>
      </c>
      <c r="P949" t="str">
        <f>IF(Table1[[#This Row],[Delivery Delay]]&gt;0,"Late","On Time")</f>
        <v>Late</v>
      </c>
      <c r="Q949">
        <v>44.121188608549502</v>
      </c>
      <c r="R949">
        <v>0.31281000688689242</v>
      </c>
      <c r="S949">
        <v>1.4165529526983136E-3</v>
      </c>
      <c r="T949">
        <v>0.94</v>
      </c>
      <c r="U949">
        <v>0</v>
      </c>
      <c r="V949">
        <v>34.498696726318798</v>
      </c>
    </row>
    <row r="950" spans="1:22" x14ac:dyDescent="0.35">
      <c r="A950" t="s">
        <v>106</v>
      </c>
      <c r="B950" t="s">
        <v>10</v>
      </c>
      <c r="C950" t="s">
        <v>11</v>
      </c>
      <c r="D950">
        <v>0.89</v>
      </c>
      <c r="E950" t="s">
        <v>38</v>
      </c>
      <c r="F950" t="s">
        <v>34</v>
      </c>
      <c r="G950">
        <v>1</v>
      </c>
      <c r="H950">
        <v>226.67219999999901</v>
      </c>
      <c r="I950" t="s">
        <v>45</v>
      </c>
      <c r="J950" s="1">
        <v>44493</v>
      </c>
      <c r="K950">
        <v>77.714743876006906</v>
      </c>
      <c r="L950" s="1">
        <v>44509</v>
      </c>
      <c r="M950" s="1">
        <v>44515</v>
      </c>
      <c r="N950">
        <v>932.57692651208299</v>
      </c>
      <c r="O950">
        <v>6</v>
      </c>
      <c r="P950" t="str">
        <f>IF(Table1[[#This Row],[Delivery Delay]]&gt;0,"Late","On Time")</f>
        <v>Late</v>
      </c>
      <c r="Q950">
        <v>77.714743876006921</v>
      </c>
      <c r="R950">
        <v>0.66390586200897017</v>
      </c>
      <c r="S950">
        <v>1.0722975998774546E-3</v>
      </c>
      <c r="T950">
        <v>0.89</v>
      </c>
      <c r="U950">
        <v>0</v>
      </c>
      <c r="V950">
        <v>40.010286168175732</v>
      </c>
    </row>
    <row r="951" spans="1:22" x14ac:dyDescent="0.35">
      <c r="A951" t="s">
        <v>108</v>
      </c>
      <c r="B951" t="s">
        <v>12</v>
      </c>
      <c r="C951" t="s">
        <v>5</v>
      </c>
      <c r="D951">
        <v>0.91</v>
      </c>
      <c r="E951" t="s">
        <v>38</v>
      </c>
      <c r="F951" t="s">
        <v>39</v>
      </c>
      <c r="G951">
        <v>0</v>
      </c>
      <c r="H951">
        <v>426.74400000000003</v>
      </c>
      <c r="I951" t="s">
        <v>49</v>
      </c>
      <c r="J951" s="1">
        <v>45377</v>
      </c>
      <c r="K951">
        <v>32.982414131690298</v>
      </c>
      <c r="L951" s="1">
        <v>45390</v>
      </c>
      <c r="M951" s="1">
        <v>45387</v>
      </c>
      <c r="N951">
        <v>263.85931305352199</v>
      </c>
      <c r="O951">
        <v>-3</v>
      </c>
      <c r="P951" t="str">
        <f>IF(Table1[[#This Row],[Delivery Delay]]&gt;0,"Late","On Time")</f>
        <v>On Time</v>
      </c>
      <c r="Q951">
        <v>32.982414131690248</v>
      </c>
      <c r="R951">
        <v>0.44388044859859749</v>
      </c>
      <c r="S951">
        <v>3.7898984440892449E-3</v>
      </c>
      <c r="T951">
        <v>0.91</v>
      </c>
      <c r="U951">
        <v>1</v>
      </c>
      <c r="V951">
        <v>56.29130592529463</v>
      </c>
    </row>
    <row r="952" spans="1:22" x14ac:dyDescent="0.35">
      <c r="A952" t="s">
        <v>107</v>
      </c>
      <c r="B952" t="s">
        <v>13</v>
      </c>
      <c r="C952" t="s">
        <v>7</v>
      </c>
      <c r="D952">
        <v>0.86</v>
      </c>
      <c r="E952" t="s">
        <v>36</v>
      </c>
      <c r="F952" t="s">
        <v>34</v>
      </c>
      <c r="G952">
        <v>1</v>
      </c>
      <c r="H952">
        <v>129.50199999999899</v>
      </c>
      <c r="I952" t="s">
        <v>47</v>
      </c>
      <c r="J952" s="1">
        <v>45010</v>
      </c>
      <c r="K952">
        <v>10.7378160208536</v>
      </c>
      <c r="L952" s="1">
        <v>45032</v>
      </c>
      <c r="M952" s="1">
        <v>45031</v>
      </c>
      <c r="N952">
        <v>128.853792250243</v>
      </c>
      <c r="O952">
        <v>-1</v>
      </c>
      <c r="P952" t="str">
        <f>IF(Table1[[#This Row],[Delivery Delay]]&gt;0,"Late","On Time")</f>
        <v>On Time</v>
      </c>
      <c r="Q952">
        <v>10.737816020853584</v>
      </c>
      <c r="R952">
        <v>0.37163880136140809</v>
      </c>
      <c r="S952">
        <v>7.7607339492029121E-3</v>
      </c>
      <c r="T952">
        <v>0.86</v>
      </c>
      <c r="U952">
        <v>0</v>
      </c>
      <c r="V952">
        <v>33.465598045704247</v>
      </c>
    </row>
    <row r="953" spans="1:22" x14ac:dyDescent="0.35">
      <c r="A953" t="s">
        <v>100</v>
      </c>
      <c r="B953" t="s">
        <v>15</v>
      </c>
      <c r="C953" t="s">
        <v>5</v>
      </c>
      <c r="D953">
        <v>0.87</v>
      </c>
      <c r="E953" t="s">
        <v>37</v>
      </c>
      <c r="F953" t="s">
        <v>34</v>
      </c>
      <c r="G953">
        <v>1</v>
      </c>
      <c r="H953">
        <v>151.194999999999</v>
      </c>
      <c r="I953" t="s">
        <v>48</v>
      </c>
      <c r="J953" s="1">
        <v>44291</v>
      </c>
      <c r="K953">
        <v>18.773070274429401</v>
      </c>
      <c r="L953" s="1">
        <v>44305</v>
      </c>
      <c r="M953" s="1">
        <v>44308</v>
      </c>
      <c r="N953">
        <v>281.596054116441</v>
      </c>
      <c r="O953">
        <v>3</v>
      </c>
      <c r="P953" t="str">
        <f>IF(Table1[[#This Row],[Delivery Delay]]&gt;0,"Late","On Time")</f>
        <v>Late</v>
      </c>
      <c r="Q953">
        <v>18.773070274429401</v>
      </c>
      <c r="R953">
        <v>0.59154130558109352</v>
      </c>
      <c r="S953">
        <v>3.5511861241723803E-3</v>
      </c>
      <c r="T953">
        <v>0.87</v>
      </c>
      <c r="U953">
        <v>0</v>
      </c>
      <c r="V953">
        <v>38.037361695347045</v>
      </c>
    </row>
    <row r="954" spans="1:22" x14ac:dyDescent="0.35">
      <c r="A954" t="s">
        <v>101</v>
      </c>
      <c r="B954" t="s">
        <v>8</v>
      </c>
      <c r="C954" t="s">
        <v>9</v>
      </c>
      <c r="D954">
        <v>0.93</v>
      </c>
      <c r="E954" t="s">
        <v>36</v>
      </c>
      <c r="F954" t="s">
        <v>34</v>
      </c>
      <c r="G954">
        <v>1</v>
      </c>
      <c r="H954">
        <v>176.9024</v>
      </c>
      <c r="I954" t="s">
        <v>49</v>
      </c>
      <c r="J954" s="1">
        <v>44949</v>
      </c>
      <c r="K954">
        <v>75.9848315865122</v>
      </c>
      <c r="L954" s="1">
        <v>44973</v>
      </c>
      <c r="M954" s="1">
        <v>44971</v>
      </c>
      <c r="N954">
        <v>683.86348427861003</v>
      </c>
      <c r="O954">
        <v>-2</v>
      </c>
      <c r="P954" t="str">
        <f>IF(Table1[[#This Row],[Delivery Delay]]&gt;0,"Late","On Time")</f>
        <v>On Time</v>
      </c>
      <c r="Q954">
        <v>75.984831586512229</v>
      </c>
      <c r="R954">
        <v>0.40989252573784285</v>
      </c>
      <c r="S954">
        <v>1.4622801523828607E-3</v>
      </c>
      <c r="T954">
        <v>0.93</v>
      </c>
      <c r="U954">
        <v>0</v>
      </c>
      <c r="V954">
        <v>36.141718919328348</v>
      </c>
    </row>
    <row r="955" spans="1:22" x14ac:dyDescent="0.35">
      <c r="A955" t="s">
        <v>102</v>
      </c>
      <c r="B955" t="s">
        <v>10</v>
      </c>
      <c r="C955" t="s">
        <v>7</v>
      </c>
      <c r="D955">
        <v>0.7</v>
      </c>
      <c r="E955" t="s">
        <v>38</v>
      </c>
      <c r="F955" t="s">
        <v>34</v>
      </c>
      <c r="G955">
        <v>1</v>
      </c>
      <c r="H955">
        <v>100.80800000000001</v>
      </c>
      <c r="I955" t="s">
        <v>49</v>
      </c>
      <c r="J955" s="1">
        <v>44621</v>
      </c>
      <c r="K955">
        <v>30.580378138631399</v>
      </c>
      <c r="L955" s="1">
        <v>44637</v>
      </c>
      <c r="M955" s="1">
        <v>44640</v>
      </c>
      <c r="N955">
        <v>428.12529394083998</v>
      </c>
      <c r="O955">
        <v>3</v>
      </c>
      <c r="P955" t="str">
        <f>IF(Table1[[#This Row],[Delivery Delay]]&gt;0,"Late","On Time")</f>
        <v>Late</v>
      </c>
      <c r="Q955">
        <v>30.580378138631428</v>
      </c>
      <c r="R955">
        <v>0.33094337640508459</v>
      </c>
      <c r="S955">
        <v>2.335764819674924E-3</v>
      </c>
      <c r="T955">
        <v>0.7</v>
      </c>
      <c r="U955">
        <v>0</v>
      </c>
      <c r="V955">
        <v>27.688940472691936</v>
      </c>
    </row>
    <row r="956" spans="1:22" x14ac:dyDescent="0.35">
      <c r="A956" t="s">
        <v>99</v>
      </c>
      <c r="B956" t="s">
        <v>6</v>
      </c>
      <c r="C956" t="s">
        <v>11</v>
      </c>
      <c r="D956">
        <v>0.79</v>
      </c>
      <c r="E956" t="s">
        <v>35</v>
      </c>
      <c r="F956" t="s">
        <v>39</v>
      </c>
      <c r="G956">
        <v>0</v>
      </c>
      <c r="H956">
        <v>213.2458</v>
      </c>
      <c r="I956" t="s">
        <v>51</v>
      </c>
      <c r="J956" s="1">
        <v>45318</v>
      </c>
      <c r="K956">
        <v>58.601602282276097</v>
      </c>
      <c r="L956" s="1">
        <v>45341</v>
      </c>
      <c r="M956" s="1">
        <v>45340</v>
      </c>
      <c r="N956">
        <v>586.01602282276099</v>
      </c>
      <c r="O956">
        <v>-1</v>
      </c>
      <c r="P956" t="str">
        <f>IF(Table1[[#This Row],[Delivery Delay]]&gt;0,"Late","On Time")</f>
        <v>On Time</v>
      </c>
      <c r="Q956">
        <v>58.601602282276097</v>
      </c>
      <c r="R956">
        <v>0.49834753349919542</v>
      </c>
      <c r="S956">
        <v>1.7064379830147535E-3</v>
      </c>
      <c r="T956">
        <v>0.79</v>
      </c>
      <c r="U956">
        <v>1</v>
      </c>
      <c r="V956">
        <v>53.718143809474348</v>
      </c>
    </row>
    <row r="957" spans="1:22" x14ac:dyDescent="0.35">
      <c r="A957" t="s">
        <v>103</v>
      </c>
      <c r="B957" t="s">
        <v>6</v>
      </c>
      <c r="C957" t="s">
        <v>9</v>
      </c>
      <c r="D957">
        <v>0.69</v>
      </c>
      <c r="E957" t="s">
        <v>35</v>
      </c>
      <c r="F957" t="s">
        <v>39</v>
      </c>
      <c r="G957">
        <v>0</v>
      </c>
      <c r="H957">
        <v>-43.463399999999901</v>
      </c>
      <c r="I957" t="s">
        <v>49</v>
      </c>
      <c r="J957" s="1">
        <v>44297</v>
      </c>
      <c r="K957">
        <v>42.0015463614046</v>
      </c>
      <c r="L957" s="1">
        <v>44308</v>
      </c>
      <c r="M957" s="1">
        <v>44307</v>
      </c>
      <c r="N957">
        <v>672.02474178247405</v>
      </c>
      <c r="O957">
        <v>-1</v>
      </c>
      <c r="P957" t="str">
        <f>IF(Table1[[#This Row],[Delivery Delay]]&gt;0,"Late","On Time")</f>
        <v>On Time</v>
      </c>
      <c r="Q957">
        <v>42.001546361404628</v>
      </c>
      <c r="R957">
        <v>0</v>
      </c>
      <c r="S957">
        <v>1.4880404512304212E-3</v>
      </c>
      <c r="T957">
        <v>0.69</v>
      </c>
      <c r="U957">
        <v>1</v>
      </c>
      <c r="V957">
        <v>40.744641213536916</v>
      </c>
    </row>
    <row r="958" spans="1:22" x14ac:dyDescent="0.35">
      <c r="A958" t="s">
        <v>104</v>
      </c>
      <c r="B958" t="s">
        <v>13</v>
      </c>
      <c r="C958" t="s">
        <v>7</v>
      </c>
      <c r="D958">
        <v>0.99</v>
      </c>
      <c r="E958" t="s">
        <v>35</v>
      </c>
      <c r="F958" t="s">
        <v>34</v>
      </c>
      <c r="G958">
        <v>1</v>
      </c>
      <c r="H958">
        <v>165.613599999999</v>
      </c>
      <c r="I958" t="s">
        <v>45</v>
      </c>
      <c r="J958" s="1">
        <v>44438</v>
      </c>
      <c r="K958">
        <v>43.451556839904299</v>
      </c>
      <c r="L958" s="1">
        <v>44457</v>
      </c>
      <c r="M958" s="1">
        <v>44462</v>
      </c>
      <c r="N958">
        <v>521.41868207885102</v>
      </c>
      <c r="O958">
        <v>5</v>
      </c>
      <c r="P958" t="str">
        <f>IF(Table1[[#This Row],[Delivery Delay]]&gt;0,"Late","On Time")</f>
        <v>Late</v>
      </c>
      <c r="Q958">
        <v>43.451556839904249</v>
      </c>
      <c r="R958">
        <v>0.22472121118042657</v>
      </c>
      <c r="S958">
        <v>1.917844592781154E-3</v>
      </c>
      <c r="T958">
        <v>0.99</v>
      </c>
      <c r="U958">
        <v>0</v>
      </c>
      <c r="V958">
        <v>34.251959561391963</v>
      </c>
    </row>
    <row r="959" spans="1:22" x14ac:dyDescent="0.35">
      <c r="A959" t="s">
        <v>105</v>
      </c>
      <c r="B959" t="s">
        <v>6</v>
      </c>
      <c r="C959" t="s">
        <v>11</v>
      </c>
      <c r="D959">
        <v>0.97</v>
      </c>
      <c r="E959" t="s">
        <v>36</v>
      </c>
      <c r="F959" t="s">
        <v>34</v>
      </c>
      <c r="G959">
        <v>1</v>
      </c>
      <c r="H959">
        <v>210.4308</v>
      </c>
      <c r="I959" t="s">
        <v>50</v>
      </c>
      <c r="J959" s="1">
        <v>44690</v>
      </c>
      <c r="K959">
        <v>13.6391232988671</v>
      </c>
      <c r="L959" s="1">
        <v>44700</v>
      </c>
      <c r="M959" s="1">
        <v>44702</v>
      </c>
      <c r="N959">
        <v>150.03035628753801</v>
      </c>
      <c r="O959">
        <v>2</v>
      </c>
      <c r="P959" t="str">
        <f>IF(Table1[[#This Row],[Delivery Delay]]&gt;0,"Late","On Time")</f>
        <v>Late</v>
      </c>
      <c r="Q959">
        <v>13.639123298867093</v>
      </c>
      <c r="R959">
        <v>0.16311569876630028</v>
      </c>
      <c r="S959">
        <v>6.6653177713146784E-3</v>
      </c>
      <c r="T959">
        <v>0.97</v>
      </c>
      <c r="U959">
        <v>0</v>
      </c>
      <c r="V959">
        <v>32.562273508465438</v>
      </c>
    </row>
    <row r="960" spans="1:22" x14ac:dyDescent="0.35">
      <c r="A960" t="s">
        <v>106</v>
      </c>
      <c r="B960" t="s">
        <v>8</v>
      </c>
      <c r="C960" t="s">
        <v>9</v>
      </c>
      <c r="D960">
        <v>0.62</v>
      </c>
      <c r="E960" t="s">
        <v>37</v>
      </c>
      <c r="F960" t="s">
        <v>34</v>
      </c>
      <c r="G960">
        <v>1</v>
      </c>
      <c r="H960">
        <v>482.861999999999</v>
      </c>
      <c r="I960" t="s">
        <v>48</v>
      </c>
      <c r="J960" s="1">
        <v>44600</v>
      </c>
      <c r="K960">
        <v>17.5238950156394</v>
      </c>
      <c r="L960" s="1">
        <v>44623</v>
      </c>
      <c r="M960" s="1">
        <v>44626</v>
      </c>
      <c r="N960">
        <v>332.95400529714999</v>
      </c>
      <c r="O960">
        <v>3</v>
      </c>
      <c r="P960" t="str">
        <f>IF(Table1[[#This Row],[Delivery Delay]]&gt;0,"Late","On Time")</f>
        <v>Late</v>
      </c>
      <c r="Q960">
        <v>17.523895015639471</v>
      </c>
      <c r="R960">
        <v>0.5076868727013496</v>
      </c>
      <c r="S960">
        <v>3.0034178417752758E-3</v>
      </c>
      <c r="T960">
        <v>0.62</v>
      </c>
      <c r="U960">
        <v>0</v>
      </c>
      <c r="V960">
        <v>28.843839989280252</v>
      </c>
    </row>
    <row r="961" spans="1:22" x14ac:dyDescent="0.35">
      <c r="A961" t="s">
        <v>108</v>
      </c>
      <c r="B961" t="s">
        <v>13</v>
      </c>
      <c r="C961" t="s">
        <v>9</v>
      </c>
      <c r="D961">
        <v>0.88</v>
      </c>
      <c r="E961" t="s">
        <v>36</v>
      </c>
      <c r="F961" t="s">
        <v>34</v>
      </c>
      <c r="G961">
        <v>1</v>
      </c>
      <c r="H961">
        <v>543.85799999999995</v>
      </c>
      <c r="I961" t="s">
        <v>49</v>
      </c>
      <c r="J961" s="1">
        <v>44414</v>
      </c>
      <c r="K961">
        <v>24.666606330173799</v>
      </c>
      <c r="L961" s="1">
        <v>44437</v>
      </c>
      <c r="M961" s="1">
        <v>44439</v>
      </c>
      <c r="N961">
        <v>345.332488622433</v>
      </c>
      <c r="O961">
        <v>2</v>
      </c>
      <c r="P961" t="str">
        <f>IF(Table1[[#This Row],[Delivery Delay]]&gt;0,"Late","On Time")</f>
        <v>Late</v>
      </c>
      <c r="Q961">
        <v>24.666606330173785</v>
      </c>
      <c r="R961">
        <v>0.63474156705391338</v>
      </c>
      <c r="S961">
        <v>2.8957599789961939E-3</v>
      </c>
      <c r="T961">
        <v>0.88</v>
      </c>
      <c r="U961">
        <v>0</v>
      </c>
      <c r="V961">
        <v>39.181704140448161</v>
      </c>
    </row>
    <row r="962" spans="1:22" x14ac:dyDescent="0.35">
      <c r="A962" t="s">
        <v>105</v>
      </c>
      <c r="B962" t="s">
        <v>8</v>
      </c>
      <c r="C962" t="s">
        <v>7</v>
      </c>
      <c r="D962">
        <v>0.96</v>
      </c>
      <c r="E962" t="s">
        <v>38</v>
      </c>
      <c r="F962" t="s">
        <v>34</v>
      </c>
      <c r="G962">
        <v>1</v>
      </c>
      <c r="H962">
        <v>768.16319999999996</v>
      </c>
      <c r="I962" t="s">
        <v>51</v>
      </c>
      <c r="J962" s="1">
        <v>44646</v>
      </c>
      <c r="K962">
        <v>18.314183821372801</v>
      </c>
      <c r="L962" s="1">
        <v>44667</v>
      </c>
      <c r="M962" s="1">
        <v>44666</v>
      </c>
      <c r="N962">
        <v>91.570919106864295</v>
      </c>
      <c r="O962">
        <v>-1</v>
      </c>
      <c r="P962" t="str">
        <f>IF(Table1[[#This Row],[Delivery Delay]]&gt;0,"Late","On Time")</f>
        <v>On Time</v>
      </c>
      <c r="Q962">
        <v>18.314183821372858</v>
      </c>
      <c r="R962">
        <v>0.72137266082629203</v>
      </c>
      <c r="S962">
        <v>1.092049757448638E-2</v>
      </c>
      <c r="T962">
        <v>0.96</v>
      </c>
      <c r="U962">
        <v>0</v>
      </c>
      <c r="V962">
        <v>43.555068143760437</v>
      </c>
    </row>
    <row r="963" spans="1:22" x14ac:dyDescent="0.35">
      <c r="A963" t="s">
        <v>106</v>
      </c>
      <c r="B963" t="s">
        <v>15</v>
      </c>
      <c r="C963" t="s">
        <v>9</v>
      </c>
      <c r="D963">
        <v>0.67</v>
      </c>
      <c r="E963" t="s">
        <v>36</v>
      </c>
      <c r="F963" t="s">
        <v>34</v>
      </c>
      <c r="G963">
        <v>1</v>
      </c>
      <c r="H963">
        <v>15.993600000000001</v>
      </c>
      <c r="I963" t="s">
        <v>45</v>
      </c>
      <c r="J963" s="1">
        <v>44506</v>
      </c>
      <c r="K963">
        <v>53.765544813275604</v>
      </c>
      <c r="L963" s="1">
        <v>44527</v>
      </c>
      <c r="M963" s="1">
        <v>44525</v>
      </c>
      <c r="N963">
        <v>376.358813692929</v>
      </c>
      <c r="O963">
        <v>-2</v>
      </c>
      <c r="P963" t="str">
        <f>IF(Table1[[#This Row],[Delivery Delay]]&gt;0,"Late","On Time")</f>
        <v>On Time</v>
      </c>
      <c r="Q963">
        <v>53.765544813275575</v>
      </c>
      <c r="R963">
        <v>9.9776909371303665E-2</v>
      </c>
      <c r="S963">
        <v>2.6570388778403885E-3</v>
      </c>
      <c r="T963">
        <v>0.67</v>
      </c>
      <c r="U963">
        <v>0</v>
      </c>
      <c r="V963">
        <v>22.175249353761288</v>
      </c>
    </row>
    <row r="964" spans="1:22" x14ac:dyDescent="0.35">
      <c r="A964" t="s">
        <v>108</v>
      </c>
      <c r="B964" t="s">
        <v>12</v>
      </c>
      <c r="C964" t="s">
        <v>9</v>
      </c>
      <c r="D964">
        <v>0.82</v>
      </c>
      <c r="E964" t="s">
        <v>35</v>
      </c>
      <c r="F964" t="s">
        <v>34</v>
      </c>
      <c r="G964">
        <v>1</v>
      </c>
      <c r="H964">
        <v>-16.183999999999902</v>
      </c>
      <c r="I964" t="s">
        <v>46</v>
      </c>
      <c r="J964" s="1">
        <v>44498</v>
      </c>
      <c r="K964">
        <v>42.674073886715099</v>
      </c>
      <c r="L964" s="1">
        <v>44508</v>
      </c>
      <c r="M964" s="1">
        <v>44509</v>
      </c>
      <c r="N964">
        <v>341.39259109372102</v>
      </c>
      <c r="O964">
        <v>1</v>
      </c>
      <c r="P964" t="str">
        <f>IF(Table1[[#This Row],[Delivery Delay]]&gt;0,"Late","On Time")</f>
        <v>Late</v>
      </c>
      <c r="Q964">
        <v>42.674073886715128</v>
      </c>
      <c r="R964">
        <v>0</v>
      </c>
      <c r="S964">
        <v>2.9291789748462187E-3</v>
      </c>
      <c r="T964">
        <v>0.82</v>
      </c>
      <c r="U964">
        <v>0</v>
      </c>
      <c r="V964">
        <v>24.687875369245383</v>
      </c>
    </row>
    <row r="965" spans="1:22" x14ac:dyDescent="0.35">
      <c r="A965" t="s">
        <v>107</v>
      </c>
      <c r="B965" t="s">
        <v>15</v>
      </c>
      <c r="C965" t="s">
        <v>9</v>
      </c>
      <c r="D965">
        <v>0.96</v>
      </c>
      <c r="E965" t="s">
        <v>35</v>
      </c>
      <c r="F965" t="s">
        <v>34</v>
      </c>
      <c r="G965">
        <v>1</v>
      </c>
      <c r="H965">
        <v>652.43999999999903</v>
      </c>
      <c r="I965" t="s">
        <v>50</v>
      </c>
      <c r="J965" s="1">
        <v>44664</v>
      </c>
      <c r="K965">
        <v>57.546394598965897</v>
      </c>
      <c r="L965" s="1">
        <v>44684</v>
      </c>
      <c r="M965" s="1">
        <v>44689</v>
      </c>
      <c r="N965">
        <v>805.649524385522</v>
      </c>
      <c r="O965">
        <v>5</v>
      </c>
      <c r="P965" t="str">
        <f>IF(Table1[[#This Row],[Delivery Delay]]&gt;0,"Late","On Time")</f>
        <v>Late</v>
      </c>
      <c r="Q965">
        <v>57.546394598965854</v>
      </c>
      <c r="R965">
        <v>0.44852334598251353</v>
      </c>
      <c r="S965">
        <v>1.2412345191449238E-3</v>
      </c>
      <c r="T965">
        <v>0.96</v>
      </c>
      <c r="U965">
        <v>0</v>
      </c>
      <c r="V965">
        <v>37.807703955224618</v>
      </c>
    </row>
    <row r="966" spans="1:22" x14ac:dyDescent="0.35">
      <c r="A966" t="s">
        <v>100</v>
      </c>
      <c r="B966" t="s">
        <v>15</v>
      </c>
      <c r="C966" t="s">
        <v>11</v>
      </c>
      <c r="D966">
        <v>0.61</v>
      </c>
      <c r="E966" t="s">
        <v>36</v>
      </c>
      <c r="F966" t="s">
        <v>34</v>
      </c>
      <c r="G966">
        <v>1</v>
      </c>
      <c r="H966">
        <v>437.84480000000002</v>
      </c>
      <c r="I966" t="s">
        <v>50</v>
      </c>
      <c r="J966" s="1">
        <v>44885</v>
      </c>
      <c r="K966">
        <v>22.324946433615199</v>
      </c>
      <c r="L966" s="1">
        <v>44909</v>
      </c>
      <c r="M966" s="1">
        <v>44915</v>
      </c>
      <c r="N966">
        <v>245.57441076976701</v>
      </c>
      <c r="O966">
        <v>6</v>
      </c>
      <c r="P966" t="str">
        <f>IF(Table1[[#This Row],[Delivery Delay]]&gt;0,"Late","On Time")</f>
        <v>Late</v>
      </c>
      <c r="Q966">
        <v>22.324946433615182</v>
      </c>
      <c r="R966">
        <v>0.38710165674580721</v>
      </c>
      <c r="S966">
        <v>4.0720855111305897E-3</v>
      </c>
      <c r="T966">
        <v>0.61</v>
      </c>
      <c r="U966">
        <v>0</v>
      </c>
      <c r="V966">
        <v>26.164195700250058</v>
      </c>
    </row>
    <row r="967" spans="1:22" x14ac:dyDescent="0.35">
      <c r="A967" t="s">
        <v>101</v>
      </c>
      <c r="B967" t="s">
        <v>8</v>
      </c>
      <c r="C967" t="s">
        <v>5</v>
      </c>
      <c r="D967">
        <v>0.87</v>
      </c>
      <c r="E967" t="s">
        <v>37</v>
      </c>
      <c r="F967" t="s">
        <v>34</v>
      </c>
      <c r="G967">
        <v>1</v>
      </c>
      <c r="H967">
        <v>246.03199999999899</v>
      </c>
      <c r="I967" t="s">
        <v>48</v>
      </c>
      <c r="J967" s="1">
        <v>44731</v>
      </c>
      <c r="K967">
        <v>8.9325810099818899</v>
      </c>
      <c r="L967" s="1">
        <v>44753</v>
      </c>
      <c r="M967" s="1">
        <v>44753</v>
      </c>
      <c r="N967">
        <v>98.258391109800797</v>
      </c>
      <c r="O967">
        <v>0</v>
      </c>
      <c r="P967" t="str">
        <f>IF(Table1[[#This Row],[Delivery Delay]]&gt;0,"Late","On Time")</f>
        <v>On Time</v>
      </c>
      <c r="Q967">
        <v>8.9325810099818899</v>
      </c>
      <c r="R967">
        <v>0.90628867802203916</v>
      </c>
      <c r="S967">
        <v>1.0177247853392288E-2</v>
      </c>
      <c r="T967">
        <v>0.87</v>
      </c>
      <c r="U967">
        <v>0</v>
      </c>
      <c r="V967">
        <v>44.531090996042558</v>
      </c>
    </row>
    <row r="968" spans="1:22" x14ac:dyDescent="0.35">
      <c r="A968" t="s">
        <v>102</v>
      </c>
      <c r="B968" t="s">
        <v>13</v>
      </c>
      <c r="C968" t="s">
        <v>7</v>
      </c>
      <c r="D968">
        <v>0.72</v>
      </c>
      <c r="E968" t="s">
        <v>38</v>
      </c>
      <c r="F968" t="s">
        <v>39</v>
      </c>
      <c r="G968">
        <v>0</v>
      </c>
      <c r="H968">
        <v>218.61599999999899</v>
      </c>
      <c r="I968" t="s">
        <v>50</v>
      </c>
      <c r="J968" s="1">
        <v>44850</v>
      </c>
      <c r="K968">
        <v>69.149497454998397</v>
      </c>
      <c r="L968" s="1">
        <v>44863</v>
      </c>
      <c r="M968" s="1">
        <v>44866</v>
      </c>
      <c r="N968">
        <v>760.64447200498296</v>
      </c>
      <c r="O968">
        <v>3</v>
      </c>
      <c r="P968" t="str">
        <f>IF(Table1[[#This Row],[Delivery Delay]]&gt;0,"Late","On Time")</f>
        <v>Late</v>
      </c>
      <c r="Q968">
        <v>69.149497454998453</v>
      </c>
      <c r="R968">
        <v>0.58828468096098929</v>
      </c>
      <c r="S968">
        <v>1.314674643416654E-3</v>
      </c>
      <c r="T968">
        <v>0.72</v>
      </c>
      <c r="U968">
        <v>1</v>
      </c>
      <c r="V968">
        <v>53.405133858522277</v>
      </c>
    </row>
    <row r="969" spans="1:22" x14ac:dyDescent="0.35">
      <c r="A969" t="s">
        <v>99</v>
      </c>
      <c r="B969" t="s">
        <v>13</v>
      </c>
      <c r="C969" t="s">
        <v>7</v>
      </c>
      <c r="D969">
        <v>0.96</v>
      </c>
      <c r="E969" t="s">
        <v>38</v>
      </c>
      <c r="F969" t="s">
        <v>34</v>
      </c>
      <c r="G969">
        <v>1</v>
      </c>
      <c r="H969">
        <v>34.168399999999998</v>
      </c>
      <c r="I969" t="s">
        <v>49</v>
      </c>
      <c r="J969" s="1">
        <v>44402</v>
      </c>
      <c r="K969">
        <v>55.412622053014097</v>
      </c>
      <c r="L969" s="1">
        <v>44421</v>
      </c>
      <c r="M969" s="1">
        <v>44423</v>
      </c>
      <c r="N969">
        <v>609.53884258315497</v>
      </c>
      <c r="O969">
        <v>2</v>
      </c>
      <c r="P969" t="str">
        <f>IF(Table1[[#This Row],[Delivery Delay]]&gt;0,"Late","On Time")</f>
        <v>Late</v>
      </c>
      <c r="Q969">
        <v>55.41262205301409</v>
      </c>
      <c r="R969">
        <v>0.11157086861515031</v>
      </c>
      <c r="S969">
        <v>1.6405845372578979E-3</v>
      </c>
      <c r="T969">
        <v>0.96</v>
      </c>
      <c r="U969">
        <v>0</v>
      </c>
      <c r="V969">
        <v>31.080634908420741</v>
      </c>
    </row>
    <row r="970" spans="1:22" x14ac:dyDescent="0.35">
      <c r="A970" t="s">
        <v>103</v>
      </c>
      <c r="B970" t="s">
        <v>6</v>
      </c>
      <c r="C970" t="s">
        <v>9</v>
      </c>
      <c r="D970">
        <v>0.98</v>
      </c>
      <c r="E970" t="s">
        <v>36</v>
      </c>
      <c r="F970" t="s">
        <v>34</v>
      </c>
      <c r="G970">
        <v>1</v>
      </c>
      <c r="H970">
        <v>172.19880000000001</v>
      </c>
      <c r="I970" t="s">
        <v>51</v>
      </c>
      <c r="J970" s="1">
        <v>44448</v>
      </c>
      <c r="K970">
        <v>72.456000530530702</v>
      </c>
      <c r="L970" s="1">
        <v>44472</v>
      </c>
      <c r="M970" s="1">
        <v>44469</v>
      </c>
      <c r="N970">
        <v>941.92800689689898</v>
      </c>
      <c r="O970">
        <v>-3</v>
      </c>
      <c r="P970" t="str">
        <f>IF(Table1[[#This Row],[Delivery Delay]]&gt;0,"Late","On Time")</f>
        <v>On Time</v>
      </c>
      <c r="Q970">
        <v>72.456000530530687</v>
      </c>
      <c r="R970">
        <v>0.40953027833983546</v>
      </c>
      <c r="S970">
        <v>1.0616522628883434E-3</v>
      </c>
      <c r="T970">
        <v>0.98</v>
      </c>
      <c r="U970">
        <v>0</v>
      </c>
      <c r="V970">
        <v>37.622455134683356</v>
      </c>
    </row>
    <row r="971" spans="1:22" x14ac:dyDescent="0.35">
      <c r="A971" t="s">
        <v>104</v>
      </c>
      <c r="B971" t="s">
        <v>4</v>
      </c>
      <c r="C971" t="s">
        <v>9</v>
      </c>
      <c r="D971">
        <v>0.97</v>
      </c>
      <c r="E971" t="s">
        <v>35</v>
      </c>
      <c r="F971" t="s">
        <v>34</v>
      </c>
      <c r="G971">
        <v>1</v>
      </c>
      <c r="H971">
        <v>133.04579999999899</v>
      </c>
      <c r="I971" t="s">
        <v>50</v>
      </c>
      <c r="J971" s="1">
        <v>44847</v>
      </c>
      <c r="K971">
        <v>23.453692128211099</v>
      </c>
      <c r="L971" s="1">
        <v>44867</v>
      </c>
      <c r="M971" s="1">
        <v>44872</v>
      </c>
      <c r="N971">
        <v>375.25907405137798</v>
      </c>
      <c r="O971">
        <v>5</v>
      </c>
      <c r="P971" t="str">
        <f>IF(Table1[[#This Row],[Delivery Delay]]&gt;0,"Late","On Time")</f>
        <v>Late</v>
      </c>
      <c r="Q971">
        <v>23.453692128211124</v>
      </c>
      <c r="R971">
        <v>0.19622527638328657</v>
      </c>
      <c r="S971">
        <v>2.664825634204615E-3</v>
      </c>
      <c r="T971">
        <v>0.97</v>
      </c>
      <c r="U971">
        <v>0</v>
      </c>
      <c r="V971">
        <v>33.104450296691866</v>
      </c>
    </row>
    <row r="972" spans="1:22" x14ac:dyDescent="0.35">
      <c r="A972" t="s">
        <v>105</v>
      </c>
      <c r="B972" t="s">
        <v>12</v>
      </c>
      <c r="C972" t="s">
        <v>7</v>
      </c>
      <c r="D972">
        <v>0.78</v>
      </c>
      <c r="E972" t="s">
        <v>37</v>
      </c>
      <c r="F972" t="s">
        <v>34</v>
      </c>
      <c r="G972">
        <v>1</v>
      </c>
      <c r="H972">
        <v>417.92839999999899</v>
      </c>
      <c r="I972" t="s">
        <v>50</v>
      </c>
      <c r="J972" s="1">
        <v>44298</v>
      </c>
      <c r="K972">
        <v>47.1768713106215</v>
      </c>
      <c r="L972" s="1">
        <v>44311</v>
      </c>
      <c r="M972" s="1">
        <v>44309</v>
      </c>
      <c r="N972">
        <v>566.12245572745803</v>
      </c>
      <c r="O972">
        <v>-2</v>
      </c>
      <c r="P972" t="str">
        <f>IF(Table1[[#This Row],[Delivery Delay]]&gt;0,"Late","On Time")</f>
        <v>On Time</v>
      </c>
      <c r="Q972">
        <v>47.1768713106215</v>
      </c>
      <c r="R972">
        <v>0.37240275860495681</v>
      </c>
      <c r="S972">
        <v>1.76640228608317E-3</v>
      </c>
      <c r="T972">
        <v>0.78</v>
      </c>
      <c r="U972">
        <v>0</v>
      </c>
      <c r="V972">
        <v>30.901047240681628</v>
      </c>
    </row>
    <row r="973" spans="1:22" x14ac:dyDescent="0.35">
      <c r="A973" t="s">
        <v>106</v>
      </c>
      <c r="B973" t="s">
        <v>8</v>
      </c>
      <c r="C973" t="s">
        <v>9</v>
      </c>
      <c r="D973">
        <v>0.94</v>
      </c>
      <c r="E973" t="s">
        <v>38</v>
      </c>
      <c r="F973" t="s">
        <v>39</v>
      </c>
      <c r="G973">
        <v>0</v>
      </c>
      <c r="H973">
        <v>518.89679999999998</v>
      </c>
      <c r="I973" t="s">
        <v>46</v>
      </c>
      <c r="J973" s="1">
        <v>44269</v>
      </c>
      <c r="K973">
        <v>35.709385557864898</v>
      </c>
      <c r="L973" s="1">
        <v>44283</v>
      </c>
      <c r="M973" s="1">
        <v>44285</v>
      </c>
      <c r="N973">
        <v>499.93139781010802</v>
      </c>
      <c r="O973">
        <v>2</v>
      </c>
      <c r="P973" t="str">
        <f>IF(Table1[[#This Row],[Delivery Delay]]&gt;0,"Late","On Time")</f>
        <v>Late</v>
      </c>
      <c r="Q973">
        <v>35.709385557864856</v>
      </c>
      <c r="R973">
        <v>0.84851279595929474</v>
      </c>
      <c r="S973">
        <v>2.0002744464148181E-3</v>
      </c>
      <c r="T973">
        <v>0.94</v>
      </c>
      <c r="U973">
        <v>1</v>
      </c>
      <c r="V973">
        <v>65.230264152578329</v>
      </c>
    </row>
    <row r="974" spans="1:22" x14ac:dyDescent="0.35">
      <c r="A974" t="s">
        <v>108</v>
      </c>
      <c r="B974" t="s">
        <v>6</v>
      </c>
      <c r="C974" t="s">
        <v>11</v>
      </c>
      <c r="D974">
        <v>0.93</v>
      </c>
      <c r="E974" t="s">
        <v>38</v>
      </c>
      <c r="F974" t="s">
        <v>39</v>
      </c>
      <c r="G974">
        <v>0</v>
      </c>
      <c r="H974">
        <v>344.70759999999899</v>
      </c>
      <c r="I974" t="s">
        <v>46</v>
      </c>
      <c r="J974" s="1">
        <v>44820</v>
      </c>
      <c r="K974">
        <v>47.7364449868723</v>
      </c>
      <c r="L974" s="1">
        <v>44836</v>
      </c>
      <c r="M974" s="1">
        <v>44839</v>
      </c>
      <c r="N974">
        <v>477.364449868723</v>
      </c>
      <c r="O974">
        <v>3</v>
      </c>
      <c r="P974" t="str">
        <f>IF(Table1[[#This Row],[Delivery Delay]]&gt;0,"Late","On Time")</f>
        <v>Late</v>
      </c>
      <c r="Q974">
        <v>47.7364449868723</v>
      </c>
      <c r="R974">
        <v>0.34445008911338126</v>
      </c>
      <c r="S974">
        <v>2.0948355083312211E-3</v>
      </c>
      <c r="T974">
        <v>0.93</v>
      </c>
      <c r="U974">
        <v>1</v>
      </c>
      <c r="V974">
        <v>54.851846847517564</v>
      </c>
    </row>
    <row r="975" spans="1:22" x14ac:dyDescent="0.35">
      <c r="A975" t="s">
        <v>107</v>
      </c>
      <c r="B975" t="s">
        <v>10</v>
      </c>
      <c r="C975" t="s">
        <v>7</v>
      </c>
      <c r="D975">
        <v>0.72</v>
      </c>
      <c r="E975" t="s">
        <v>36</v>
      </c>
      <c r="F975" t="s">
        <v>34</v>
      </c>
      <c r="G975">
        <v>1</v>
      </c>
      <c r="H975">
        <v>291.19</v>
      </c>
      <c r="I975" t="s">
        <v>47</v>
      </c>
      <c r="J975" s="1">
        <v>45286</v>
      </c>
      <c r="K975">
        <v>16.5109485208107</v>
      </c>
      <c r="L975" s="1">
        <v>45310</v>
      </c>
      <c r="M975" s="1">
        <v>45315</v>
      </c>
      <c r="N975">
        <v>231.15327929135</v>
      </c>
      <c r="O975">
        <v>5</v>
      </c>
      <c r="P975" t="str">
        <f>IF(Table1[[#This Row],[Delivery Delay]]&gt;0,"Late","On Time")</f>
        <v>Late</v>
      </c>
      <c r="Q975">
        <v>16.510948520810715</v>
      </c>
      <c r="R975">
        <v>0.48637859326195521</v>
      </c>
      <c r="S975">
        <v>4.326133737170914E-3</v>
      </c>
      <c r="T975">
        <v>0.72</v>
      </c>
      <c r="U975">
        <v>0</v>
      </c>
      <c r="V975">
        <v>31.457355877354232</v>
      </c>
    </row>
    <row r="976" spans="1:22" x14ac:dyDescent="0.35">
      <c r="A976" t="s">
        <v>100</v>
      </c>
      <c r="B976" t="s">
        <v>4</v>
      </c>
      <c r="C976" t="s">
        <v>9</v>
      </c>
      <c r="D976">
        <v>0.92</v>
      </c>
      <c r="E976" t="s">
        <v>38</v>
      </c>
      <c r="F976" t="s">
        <v>34</v>
      </c>
      <c r="G976">
        <v>1</v>
      </c>
      <c r="H976">
        <v>302.74919999999997</v>
      </c>
      <c r="I976" t="s">
        <v>45</v>
      </c>
      <c r="J976" s="1">
        <v>45009</v>
      </c>
      <c r="K976">
        <v>61.853906661144201</v>
      </c>
      <c r="L976" s="1">
        <v>45024</v>
      </c>
      <c r="M976" s="1">
        <v>45029</v>
      </c>
      <c r="N976">
        <v>494.83125328915298</v>
      </c>
      <c r="O976">
        <v>5</v>
      </c>
      <c r="P976" t="str">
        <f>IF(Table1[[#This Row],[Delivery Delay]]&gt;0,"Late","On Time")</f>
        <v>Late</v>
      </c>
      <c r="Q976">
        <v>61.853906661144123</v>
      </c>
      <c r="R976">
        <v>0.43215979691362144</v>
      </c>
      <c r="S976">
        <v>2.0208909468692215E-3</v>
      </c>
      <c r="T976">
        <v>0.92</v>
      </c>
      <c r="U976">
        <v>0</v>
      </c>
      <c r="V976">
        <v>36.303822666678506</v>
      </c>
    </row>
    <row r="977" spans="1:22" x14ac:dyDescent="0.35">
      <c r="A977" t="s">
        <v>101</v>
      </c>
      <c r="B977" t="s">
        <v>4</v>
      </c>
      <c r="C977" t="s">
        <v>7</v>
      </c>
      <c r="D977">
        <v>0.61</v>
      </c>
      <c r="E977" t="s">
        <v>35</v>
      </c>
      <c r="F977" t="s">
        <v>34</v>
      </c>
      <c r="G977">
        <v>1</v>
      </c>
      <c r="H977">
        <v>320.71199999999999</v>
      </c>
      <c r="I977" t="s">
        <v>49</v>
      </c>
      <c r="J977" s="1">
        <v>45270</v>
      </c>
      <c r="K977">
        <v>7.6295519009686901</v>
      </c>
      <c r="L977" s="1">
        <v>45282</v>
      </c>
      <c r="M977" s="1">
        <v>45283</v>
      </c>
      <c r="N977">
        <v>114.44327851452999</v>
      </c>
      <c r="O977">
        <v>1</v>
      </c>
      <c r="P977" t="str">
        <f>IF(Table1[[#This Row],[Delivery Delay]]&gt;0,"Late","On Time")</f>
        <v>Late</v>
      </c>
      <c r="Q977">
        <v>7.6295519009686661</v>
      </c>
      <c r="R977">
        <v>0.44635580199078095</v>
      </c>
      <c r="S977">
        <v>8.737953097638999E-3</v>
      </c>
      <c r="T977">
        <v>0.61</v>
      </c>
      <c r="U977">
        <v>0</v>
      </c>
      <c r="V977">
        <v>27.489254632744785</v>
      </c>
    </row>
    <row r="978" spans="1:22" x14ac:dyDescent="0.35">
      <c r="A978" t="s">
        <v>102</v>
      </c>
      <c r="B978" t="s">
        <v>8</v>
      </c>
      <c r="C978" t="s">
        <v>5</v>
      </c>
      <c r="D978">
        <v>0.83</v>
      </c>
      <c r="E978" t="s">
        <v>35</v>
      </c>
      <c r="F978" t="s">
        <v>34</v>
      </c>
      <c r="G978">
        <v>1</v>
      </c>
      <c r="H978">
        <v>750.93899999999996</v>
      </c>
      <c r="I978" t="s">
        <v>50</v>
      </c>
      <c r="J978" s="1">
        <v>45108</v>
      </c>
      <c r="K978">
        <v>60.617780108022501</v>
      </c>
      <c r="L978" s="1">
        <v>45131</v>
      </c>
      <c r="M978" s="1">
        <v>45137</v>
      </c>
      <c r="N978">
        <v>545.56002097220301</v>
      </c>
      <c r="O978">
        <v>6</v>
      </c>
      <c r="P978" t="str">
        <f>IF(Table1[[#This Row],[Delivery Delay]]&gt;0,"Late","On Time")</f>
        <v>Late</v>
      </c>
      <c r="Q978">
        <v>60.617780108022558</v>
      </c>
      <c r="R978">
        <v>0.39543730440456049</v>
      </c>
      <c r="S978">
        <v>1.8329788869389154E-3</v>
      </c>
      <c r="T978">
        <v>0.83</v>
      </c>
      <c r="U978">
        <v>0</v>
      </c>
      <c r="V978">
        <v>32.863735454699381</v>
      </c>
    </row>
    <row r="979" spans="1:22" x14ac:dyDescent="0.35">
      <c r="A979" t="s">
        <v>99</v>
      </c>
      <c r="B979" t="s">
        <v>14</v>
      </c>
      <c r="C979" t="s">
        <v>9</v>
      </c>
      <c r="D979">
        <v>0.69</v>
      </c>
      <c r="E979" t="s">
        <v>35</v>
      </c>
      <c r="F979" t="s">
        <v>39</v>
      </c>
      <c r="G979">
        <v>0</v>
      </c>
      <c r="H979">
        <v>207.601</v>
      </c>
      <c r="I979" t="s">
        <v>50</v>
      </c>
      <c r="J979" s="1">
        <v>44592</v>
      </c>
      <c r="K979">
        <v>48.687394948499097</v>
      </c>
      <c r="L979" s="1">
        <v>44604</v>
      </c>
      <c r="M979" s="1">
        <v>44610</v>
      </c>
      <c r="N979">
        <v>681.62352927898803</v>
      </c>
      <c r="O979">
        <v>6</v>
      </c>
      <c r="P979" t="str">
        <f>IF(Table1[[#This Row],[Delivery Delay]]&gt;0,"Late","On Time")</f>
        <v>Late</v>
      </c>
      <c r="Q979">
        <v>48.687394948499147</v>
      </c>
      <c r="R979">
        <v>0.27496784772470501</v>
      </c>
      <c r="S979">
        <v>1.4670855054809892E-3</v>
      </c>
      <c r="T979">
        <v>0.69</v>
      </c>
      <c r="U979">
        <v>1</v>
      </c>
      <c r="V979">
        <v>46.243369519658536</v>
      </c>
    </row>
    <row r="980" spans="1:22" x14ac:dyDescent="0.35">
      <c r="A980" t="s">
        <v>103</v>
      </c>
      <c r="B980" t="s">
        <v>12</v>
      </c>
      <c r="C980" t="s">
        <v>7</v>
      </c>
      <c r="D980">
        <v>0.65</v>
      </c>
      <c r="E980" t="s">
        <v>35</v>
      </c>
      <c r="F980" t="s">
        <v>34</v>
      </c>
      <c r="G980">
        <v>1</v>
      </c>
      <c r="H980">
        <v>258.65879999999999</v>
      </c>
      <c r="I980" t="s">
        <v>51</v>
      </c>
      <c r="J980" s="1">
        <v>44798</v>
      </c>
      <c r="K980">
        <v>17.5636955985809</v>
      </c>
      <c r="L980" s="1">
        <v>44815</v>
      </c>
      <c r="M980" s="1">
        <v>44815</v>
      </c>
      <c r="N980">
        <v>245.89173838013301</v>
      </c>
      <c r="O980">
        <v>0</v>
      </c>
      <c r="P980" t="str">
        <f>IF(Table1[[#This Row],[Delivery Delay]]&gt;0,"Late","On Time")</f>
        <v>On Time</v>
      </c>
      <c r="Q980">
        <v>17.563695598580928</v>
      </c>
      <c r="R980">
        <v>0.34654235778514109</v>
      </c>
      <c r="S980">
        <v>4.0668304132043002E-3</v>
      </c>
      <c r="T980">
        <v>0.65</v>
      </c>
      <c r="U980">
        <v>0</v>
      </c>
      <c r="V980">
        <v>26.552852068098954</v>
      </c>
    </row>
    <row r="981" spans="1:22" x14ac:dyDescent="0.35">
      <c r="A981" t="s">
        <v>104</v>
      </c>
      <c r="B981" t="s">
        <v>4</v>
      </c>
      <c r="C981" t="s">
        <v>9</v>
      </c>
      <c r="D981">
        <v>0.63</v>
      </c>
      <c r="E981" t="s">
        <v>36</v>
      </c>
      <c r="F981" t="s">
        <v>34</v>
      </c>
      <c r="G981">
        <v>1</v>
      </c>
      <c r="H981">
        <v>482.01580000000001</v>
      </c>
      <c r="I981" t="s">
        <v>47</v>
      </c>
      <c r="J981" s="1">
        <v>44948</v>
      </c>
      <c r="K981">
        <v>6.5956658913746997</v>
      </c>
      <c r="L981" s="1">
        <v>44968</v>
      </c>
      <c r="M981" s="1">
        <v>44965</v>
      </c>
      <c r="N981">
        <v>65.956658913747006</v>
      </c>
      <c r="O981">
        <v>-3</v>
      </c>
      <c r="P981" t="str">
        <f>IF(Table1[[#This Row],[Delivery Delay]]&gt;0,"Late","On Time")</f>
        <v>On Time</v>
      </c>
      <c r="Q981">
        <v>6.5956658913747006</v>
      </c>
      <c r="R981">
        <v>0.5068058002758532</v>
      </c>
      <c r="S981">
        <v>1.5161471433956688E-2</v>
      </c>
      <c r="T981">
        <v>0.63</v>
      </c>
      <c r="U981">
        <v>0</v>
      </c>
      <c r="V981">
        <v>29.490960148535766</v>
      </c>
    </row>
    <row r="982" spans="1:22" x14ac:dyDescent="0.35">
      <c r="A982" t="s">
        <v>105</v>
      </c>
      <c r="B982" t="s">
        <v>8</v>
      </c>
      <c r="C982" t="s">
        <v>9</v>
      </c>
      <c r="D982">
        <v>0.87</v>
      </c>
      <c r="E982" t="s">
        <v>36</v>
      </c>
      <c r="F982" t="s">
        <v>34</v>
      </c>
      <c r="G982">
        <v>1</v>
      </c>
      <c r="H982">
        <v>658.62</v>
      </c>
      <c r="I982" t="s">
        <v>45</v>
      </c>
      <c r="J982" s="1">
        <v>45385</v>
      </c>
      <c r="K982">
        <v>61.003926724613798</v>
      </c>
      <c r="L982" s="1">
        <v>45408</v>
      </c>
      <c r="M982" s="1">
        <v>45407</v>
      </c>
      <c r="N982">
        <v>488.03141379690999</v>
      </c>
      <c r="O982">
        <v>-1</v>
      </c>
      <c r="P982" t="str">
        <f>IF(Table1[[#This Row],[Delivery Delay]]&gt;0,"Late","On Time")</f>
        <v>On Time</v>
      </c>
      <c r="Q982">
        <v>61.003926724613748</v>
      </c>
      <c r="R982">
        <v>0.83140195410134066</v>
      </c>
      <c r="S982">
        <v>2.0490484254280837E-3</v>
      </c>
      <c r="T982">
        <v>0.87</v>
      </c>
      <c r="U982">
        <v>0</v>
      </c>
      <c r="V982">
        <v>42.789510534789656</v>
      </c>
    </row>
    <row r="983" spans="1:22" x14ac:dyDescent="0.35">
      <c r="A983" t="s">
        <v>106</v>
      </c>
      <c r="B983" t="s">
        <v>8</v>
      </c>
      <c r="C983" t="s">
        <v>9</v>
      </c>
      <c r="D983">
        <v>0.73</v>
      </c>
      <c r="E983" t="s">
        <v>38</v>
      </c>
      <c r="F983" t="s">
        <v>34</v>
      </c>
      <c r="G983">
        <v>1</v>
      </c>
      <c r="H983">
        <v>358.00259999999997</v>
      </c>
      <c r="I983" t="s">
        <v>47</v>
      </c>
      <c r="J983" s="1">
        <v>44707</v>
      </c>
      <c r="K983">
        <v>14.9936071932737</v>
      </c>
      <c r="L983" s="1">
        <v>44724</v>
      </c>
      <c r="M983" s="1">
        <v>44723</v>
      </c>
      <c r="N983">
        <v>254.89132228565401</v>
      </c>
      <c r="O983">
        <v>-1</v>
      </c>
      <c r="P983" t="str">
        <f>IF(Table1[[#This Row],[Delivery Delay]]&gt;0,"Late","On Time")</f>
        <v>On Time</v>
      </c>
      <c r="Q983">
        <v>14.993607193273766</v>
      </c>
      <c r="R983">
        <v>0.42116337655755787</v>
      </c>
      <c r="S983">
        <v>3.9232406620705214E-3</v>
      </c>
      <c r="T983">
        <v>0.73</v>
      </c>
      <c r="U983">
        <v>0</v>
      </c>
      <c r="V983">
        <v>30.440964751013272</v>
      </c>
    </row>
    <row r="984" spans="1:22" x14ac:dyDescent="0.35">
      <c r="A984" t="s">
        <v>108</v>
      </c>
      <c r="B984" t="s">
        <v>6</v>
      </c>
      <c r="C984" t="s">
        <v>7</v>
      </c>
      <c r="D984">
        <v>0.88</v>
      </c>
      <c r="E984" t="s">
        <v>36</v>
      </c>
      <c r="F984" t="s">
        <v>34</v>
      </c>
      <c r="G984">
        <v>1</v>
      </c>
      <c r="H984">
        <v>55.590299999999999</v>
      </c>
      <c r="I984" t="s">
        <v>48</v>
      </c>
      <c r="J984" s="1">
        <v>45161</v>
      </c>
      <c r="K984">
        <v>7.0163079545379201</v>
      </c>
      <c r="L984" s="1">
        <v>45172</v>
      </c>
      <c r="M984" s="1">
        <v>45169</v>
      </c>
      <c r="N984">
        <v>56.130463636303297</v>
      </c>
      <c r="O984">
        <v>-3</v>
      </c>
      <c r="P984" t="str">
        <f>IF(Table1[[#This Row],[Delivery Delay]]&gt;0,"Late","On Time")</f>
        <v>On Time</v>
      </c>
      <c r="Q984">
        <v>7.0163079545379121</v>
      </c>
      <c r="R984">
        <v>0.44429481067420712</v>
      </c>
      <c r="S984">
        <v>1.7815637627358445E-2</v>
      </c>
      <c r="T984">
        <v>0.88</v>
      </c>
      <c r="U984">
        <v>0</v>
      </c>
      <c r="V984">
        <v>35.820365342304896</v>
      </c>
    </row>
    <row r="985" spans="1:22" x14ac:dyDescent="0.35">
      <c r="A985" t="s">
        <v>101</v>
      </c>
      <c r="B985" t="s">
        <v>10</v>
      </c>
      <c r="C985" t="s">
        <v>5</v>
      </c>
      <c r="D985">
        <v>0.63</v>
      </c>
      <c r="E985" t="s">
        <v>38</v>
      </c>
      <c r="F985" t="s">
        <v>34</v>
      </c>
      <c r="G985">
        <v>1</v>
      </c>
      <c r="H985">
        <v>-7.5460000000000402</v>
      </c>
      <c r="I985" t="s">
        <v>45</v>
      </c>
      <c r="J985" s="1">
        <v>44437</v>
      </c>
      <c r="K985">
        <v>33.9894420656546</v>
      </c>
      <c r="L985" s="1">
        <v>44452</v>
      </c>
      <c r="M985" s="1">
        <v>44453</v>
      </c>
      <c r="N985">
        <v>407.87330478785498</v>
      </c>
      <c r="O985">
        <v>1</v>
      </c>
      <c r="P985" t="str">
        <f>IF(Table1[[#This Row],[Delivery Delay]]&gt;0,"Late","On Time")</f>
        <v>Late</v>
      </c>
      <c r="Q985">
        <v>33.989442065654579</v>
      </c>
      <c r="R985">
        <v>0</v>
      </c>
      <c r="S985">
        <v>2.4517417253382759E-3</v>
      </c>
      <c r="T985">
        <v>0.63</v>
      </c>
      <c r="U985">
        <v>0</v>
      </c>
      <c r="V985">
        <v>18.973552251760147</v>
      </c>
    </row>
    <row r="986" spans="1:22" x14ac:dyDescent="0.35">
      <c r="A986" t="s">
        <v>102</v>
      </c>
      <c r="B986" t="s">
        <v>14</v>
      </c>
      <c r="C986" t="s">
        <v>9</v>
      </c>
      <c r="D986">
        <v>0.72</v>
      </c>
      <c r="E986" t="s">
        <v>37</v>
      </c>
      <c r="F986" t="s">
        <v>34</v>
      </c>
      <c r="G986">
        <v>1</v>
      </c>
      <c r="H986">
        <v>244.06019999999901</v>
      </c>
      <c r="I986" t="s">
        <v>50</v>
      </c>
      <c r="J986" s="1">
        <v>44493</v>
      </c>
      <c r="K986">
        <v>26.8552954883429</v>
      </c>
      <c r="L986" s="1">
        <v>44508</v>
      </c>
      <c r="M986" s="1">
        <v>44510</v>
      </c>
      <c r="N986">
        <v>402.82943232514299</v>
      </c>
      <c r="O986">
        <v>2</v>
      </c>
      <c r="P986" t="str">
        <f>IF(Table1[[#This Row],[Delivery Delay]]&gt;0,"Late","On Time")</f>
        <v>Late</v>
      </c>
      <c r="Q986">
        <v>26.855295488342865</v>
      </c>
      <c r="R986">
        <v>0.52065043064662708</v>
      </c>
      <c r="S986">
        <v>2.4824402582203872E-3</v>
      </c>
      <c r="T986">
        <v>0.72</v>
      </c>
      <c r="U986">
        <v>0</v>
      </c>
      <c r="V986">
        <v>32.087481820679152</v>
      </c>
    </row>
    <row r="987" spans="1:22" x14ac:dyDescent="0.35">
      <c r="A987" t="s">
        <v>99</v>
      </c>
      <c r="B987" t="s">
        <v>12</v>
      </c>
      <c r="C987" t="s">
        <v>7</v>
      </c>
      <c r="D987">
        <v>0.81</v>
      </c>
      <c r="E987" t="s">
        <v>37</v>
      </c>
      <c r="F987" t="s">
        <v>34</v>
      </c>
      <c r="G987">
        <v>1</v>
      </c>
      <c r="H987">
        <v>80.908000000000001</v>
      </c>
      <c r="I987" t="s">
        <v>50</v>
      </c>
      <c r="J987" s="1">
        <v>44872</v>
      </c>
      <c r="K987">
        <v>49.255717471326001</v>
      </c>
      <c r="L987" s="1">
        <v>44887</v>
      </c>
      <c r="M987" s="1">
        <v>44885</v>
      </c>
      <c r="N987">
        <v>443.30145724193397</v>
      </c>
      <c r="O987">
        <v>-2</v>
      </c>
      <c r="P987" t="str">
        <f>IF(Table1[[#This Row],[Delivery Delay]]&gt;0,"Late","On Time")</f>
        <v>On Time</v>
      </c>
      <c r="Q987">
        <v>49.255717471325994</v>
      </c>
      <c r="R987">
        <v>0.13397404902733528</v>
      </c>
      <c r="S987">
        <v>2.2558012920184133E-3</v>
      </c>
      <c r="T987">
        <v>0.81</v>
      </c>
      <c r="U987">
        <v>0</v>
      </c>
      <c r="V987">
        <v>27.047155019307255</v>
      </c>
    </row>
    <row r="988" spans="1:22" x14ac:dyDescent="0.35">
      <c r="A988" t="s">
        <v>103</v>
      </c>
      <c r="B988" t="s">
        <v>13</v>
      </c>
      <c r="C988" t="s">
        <v>9</v>
      </c>
      <c r="D988">
        <v>0.91</v>
      </c>
      <c r="E988" t="s">
        <v>37</v>
      </c>
      <c r="F988" t="s">
        <v>34</v>
      </c>
      <c r="G988">
        <v>1</v>
      </c>
      <c r="H988">
        <v>363.85759999999999</v>
      </c>
      <c r="I988" t="s">
        <v>45</v>
      </c>
      <c r="J988" s="1">
        <v>45174</v>
      </c>
      <c r="K988">
        <v>34.954595770768002</v>
      </c>
      <c r="L988" s="1">
        <v>45189</v>
      </c>
      <c r="M988" s="1">
        <v>45195</v>
      </c>
      <c r="N988">
        <v>384.50055347844801</v>
      </c>
      <c r="O988">
        <v>6</v>
      </c>
      <c r="P988" t="str">
        <f>IF(Table1[[#This Row],[Delivery Delay]]&gt;0,"Late","On Time")</f>
        <v>Late</v>
      </c>
      <c r="Q988">
        <v>34.954595770768002</v>
      </c>
      <c r="R988">
        <v>0.37232516789841286</v>
      </c>
      <c r="S988">
        <v>2.6007764903153824E-3</v>
      </c>
      <c r="T988">
        <v>0.91</v>
      </c>
      <c r="U988">
        <v>0</v>
      </c>
      <c r="V988">
        <v>34.824526652677726</v>
      </c>
    </row>
    <row r="989" spans="1:22" x14ac:dyDescent="0.35">
      <c r="A989" t="s">
        <v>104</v>
      </c>
      <c r="B989" t="s">
        <v>15</v>
      </c>
      <c r="C989" t="s">
        <v>11</v>
      </c>
      <c r="D989">
        <v>0.72</v>
      </c>
      <c r="E989" t="s">
        <v>35</v>
      </c>
      <c r="F989" t="s">
        <v>39</v>
      </c>
      <c r="G989">
        <v>0</v>
      </c>
      <c r="H989">
        <v>534.27279999999996</v>
      </c>
      <c r="I989" t="s">
        <v>50</v>
      </c>
      <c r="J989" s="1">
        <v>45231</v>
      </c>
      <c r="K989">
        <v>57.8533377384177</v>
      </c>
      <c r="L989" s="1">
        <v>45255</v>
      </c>
      <c r="M989" s="1">
        <v>45258</v>
      </c>
      <c r="N989">
        <v>752.09339059942999</v>
      </c>
      <c r="O989">
        <v>3</v>
      </c>
      <c r="P989" t="str">
        <f>IF(Table1[[#This Row],[Delivery Delay]]&gt;0,"Late","On Time")</f>
        <v>Late</v>
      </c>
      <c r="Q989">
        <v>57.853337738417693</v>
      </c>
      <c r="R989">
        <v>0.64629294685878214</v>
      </c>
      <c r="S989">
        <v>1.3296221087689452E-3</v>
      </c>
      <c r="T989">
        <v>0.72</v>
      </c>
      <c r="U989">
        <v>1</v>
      </c>
      <c r="V989">
        <v>54.565747600438705</v>
      </c>
    </row>
    <row r="990" spans="1:22" x14ac:dyDescent="0.35">
      <c r="A990" t="s">
        <v>105</v>
      </c>
      <c r="B990" t="s">
        <v>10</v>
      </c>
      <c r="C990" t="s">
        <v>9</v>
      </c>
      <c r="D990">
        <v>0.84</v>
      </c>
      <c r="E990" t="s">
        <v>37</v>
      </c>
      <c r="F990" t="s">
        <v>34</v>
      </c>
      <c r="G990">
        <v>1</v>
      </c>
      <c r="H990">
        <v>473.71</v>
      </c>
      <c r="I990" t="s">
        <v>49</v>
      </c>
      <c r="J990" s="1">
        <v>45145</v>
      </c>
      <c r="K990">
        <v>32.105452142544998</v>
      </c>
      <c r="L990" s="1">
        <v>45164</v>
      </c>
      <c r="M990" s="1">
        <v>45167</v>
      </c>
      <c r="N990">
        <v>353.159973567995</v>
      </c>
      <c r="O990">
        <v>3</v>
      </c>
      <c r="P990" t="str">
        <f>IF(Table1[[#This Row],[Delivery Delay]]&gt;0,"Late","On Time")</f>
        <v>Late</v>
      </c>
      <c r="Q990">
        <v>32.105452142544998</v>
      </c>
      <c r="R990">
        <v>0.69769942264640028</v>
      </c>
      <c r="S990">
        <v>2.8315779670525626E-3</v>
      </c>
      <c r="T990">
        <v>0.84</v>
      </c>
      <c r="U990">
        <v>0</v>
      </c>
      <c r="V990">
        <v>39.238935791939582</v>
      </c>
    </row>
    <row r="991" spans="1:22" x14ac:dyDescent="0.35">
      <c r="A991" t="s">
        <v>106</v>
      </c>
      <c r="B991" t="s">
        <v>10</v>
      </c>
      <c r="C991" t="s">
        <v>11</v>
      </c>
      <c r="D991">
        <v>0.95</v>
      </c>
      <c r="E991" t="s">
        <v>37</v>
      </c>
      <c r="F991" t="s">
        <v>34</v>
      </c>
      <c r="G991">
        <v>1</v>
      </c>
      <c r="H991">
        <v>292.72480000000002</v>
      </c>
      <c r="I991" t="s">
        <v>45</v>
      </c>
      <c r="J991" s="1">
        <v>44501</v>
      </c>
      <c r="K991">
        <v>72.554828660664697</v>
      </c>
      <c r="L991" s="1">
        <v>44521</v>
      </c>
      <c r="M991" s="1">
        <v>44525</v>
      </c>
      <c r="N991">
        <v>1088.32242990997</v>
      </c>
      <c r="O991">
        <v>4</v>
      </c>
      <c r="P991" t="str">
        <f>IF(Table1[[#This Row],[Delivery Delay]]&gt;0,"Late","On Time")</f>
        <v>Late</v>
      </c>
      <c r="Q991">
        <v>72.554828660664668</v>
      </c>
      <c r="R991">
        <v>0.37780457735935558</v>
      </c>
      <c r="S991">
        <v>9.1884534630304706E-4</v>
      </c>
      <c r="T991">
        <v>0.95</v>
      </c>
      <c r="U991">
        <v>0</v>
      </c>
      <c r="V991">
        <v>36.083656907576199</v>
      </c>
    </row>
    <row r="992" spans="1:22" x14ac:dyDescent="0.35">
      <c r="A992" t="s">
        <v>108</v>
      </c>
      <c r="B992" t="s">
        <v>6</v>
      </c>
      <c r="C992" t="s">
        <v>7</v>
      </c>
      <c r="D992">
        <v>0.84</v>
      </c>
      <c r="E992" t="s">
        <v>35</v>
      </c>
      <c r="F992" t="s">
        <v>34</v>
      </c>
      <c r="G992">
        <v>1</v>
      </c>
      <c r="H992">
        <v>472.35120000000001</v>
      </c>
      <c r="I992" t="s">
        <v>47</v>
      </c>
      <c r="J992" s="1">
        <v>44728</v>
      </c>
      <c r="K992">
        <v>63.5711761660164</v>
      </c>
      <c r="L992" s="1">
        <v>44752</v>
      </c>
      <c r="M992" s="1">
        <v>44757</v>
      </c>
      <c r="N992">
        <v>762.85411399219697</v>
      </c>
      <c r="O992">
        <v>5</v>
      </c>
      <c r="P992" t="str">
        <f>IF(Table1[[#This Row],[Delivery Delay]]&gt;0,"Late","On Time")</f>
        <v>Late</v>
      </c>
      <c r="Q992">
        <v>63.571176166016414</v>
      </c>
      <c r="R992">
        <v>0.31235795634895447</v>
      </c>
      <c r="S992">
        <v>1.3108666279149524E-3</v>
      </c>
      <c r="T992">
        <v>0.84</v>
      </c>
      <c r="U992">
        <v>0</v>
      </c>
      <c r="V992">
        <v>31.486485125816539</v>
      </c>
    </row>
    <row r="993" spans="1:22" x14ac:dyDescent="0.35">
      <c r="A993" t="s">
        <v>107</v>
      </c>
      <c r="B993" t="s">
        <v>13</v>
      </c>
      <c r="C993" t="s">
        <v>5</v>
      </c>
      <c r="D993">
        <v>0.69</v>
      </c>
      <c r="E993" t="s">
        <v>37</v>
      </c>
      <c r="F993" t="s">
        <v>34</v>
      </c>
      <c r="G993">
        <v>1</v>
      </c>
      <c r="H993">
        <v>55.905000000000001</v>
      </c>
      <c r="I993" t="s">
        <v>45</v>
      </c>
      <c r="J993" s="1">
        <v>44886</v>
      </c>
      <c r="K993">
        <v>49.4881192903133</v>
      </c>
      <c r="L993" s="1">
        <v>44900</v>
      </c>
      <c r="M993" s="1">
        <v>44905</v>
      </c>
      <c r="N993">
        <v>791.80990864501302</v>
      </c>
      <c r="O993">
        <v>5</v>
      </c>
      <c r="P993" t="str">
        <f>IF(Table1[[#This Row],[Delivery Delay]]&gt;0,"Late","On Time")</f>
        <v>Late</v>
      </c>
      <c r="Q993">
        <v>49.488119290313314</v>
      </c>
      <c r="R993">
        <v>7.2485753739035735E-2</v>
      </c>
      <c r="S993">
        <v>1.262929383785122E-3</v>
      </c>
      <c r="T993">
        <v>0.69</v>
      </c>
      <c r="U993">
        <v>0</v>
      </c>
      <c r="V993">
        <v>22.187602956294267</v>
      </c>
    </row>
    <row r="994" spans="1:22" x14ac:dyDescent="0.35">
      <c r="A994" t="s">
        <v>100</v>
      </c>
      <c r="B994" t="s">
        <v>4</v>
      </c>
      <c r="C994" t="s">
        <v>9</v>
      </c>
      <c r="D994">
        <v>0.61</v>
      </c>
      <c r="E994" t="s">
        <v>37</v>
      </c>
      <c r="F994" t="s">
        <v>34</v>
      </c>
      <c r="G994">
        <v>1</v>
      </c>
      <c r="H994">
        <v>-150.790199999999</v>
      </c>
      <c r="I994" t="s">
        <v>50</v>
      </c>
      <c r="J994" s="1">
        <v>45396</v>
      </c>
      <c r="K994">
        <v>27.064873600349401</v>
      </c>
      <c r="L994" s="1">
        <v>45407</v>
      </c>
      <c r="M994" s="1">
        <v>45405</v>
      </c>
      <c r="N994">
        <v>216.51898880279501</v>
      </c>
      <c r="O994">
        <v>-2</v>
      </c>
      <c r="P994" t="str">
        <f>IF(Table1[[#This Row],[Delivery Delay]]&gt;0,"Late","On Time")</f>
        <v>On Time</v>
      </c>
      <c r="Q994">
        <v>27.064873600349376</v>
      </c>
      <c r="R994">
        <v>0</v>
      </c>
      <c r="S994">
        <v>4.6185325616442709E-3</v>
      </c>
      <c r="T994">
        <v>0.61</v>
      </c>
      <c r="U994">
        <v>0</v>
      </c>
      <c r="V994">
        <v>18.438555976849326</v>
      </c>
    </row>
    <row r="995" spans="1:22" x14ac:dyDescent="0.35">
      <c r="A995" t="s">
        <v>101</v>
      </c>
      <c r="B995" t="s">
        <v>4</v>
      </c>
      <c r="C995" t="s">
        <v>9</v>
      </c>
      <c r="D995">
        <v>0.94</v>
      </c>
      <c r="E995" t="s">
        <v>35</v>
      </c>
      <c r="F995" t="s">
        <v>34</v>
      </c>
      <c r="G995">
        <v>1</v>
      </c>
      <c r="H995">
        <v>635.98799999999903</v>
      </c>
      <c r="I995" t="s">
        <v>49</v>
      </c>
      <c r="J995" s="1">
        <v>44303</v>
      </c>
      <c r="K995">
        <v>72.365387115559798</v>
      </c>
      <c r="L995" s="1">
        <v>44314</v>
      </c>
      <c r="M995" s="1">
        <v>44316</v>
      </c>
      <c r="N995">
        <v>434.19232269335799</v>
      </c>
      <c r="O995">
        <v>2</v>
      </c>
      <c r="P995" t="str">
        <f>IF(Table1[[#This Row],[Delivery Delay]]&gt;0,"Late","On Time")</f>
        <v>Late</v>
      </c>
      <c r="Q995">
        <v>72.36538711555967</v>
      </c>
      <c r="R995">
        <v>0.24682957726144458</v>
      </c>
      <c r="S995">
        <v>2.3031268581555171E-3</v>
      </c>
      <c r="T995">
        <v>0.94</v>
      </c>
      <c r="U995">
        <v>0</v>
      </c>
      <c r="V995">
        <v>33.205685350973553</v>
      </c>
    </row>
    <row r="996" spans="1:22" x14ac:dyDescent="0.35">
      <c r="A996" t="s">
        <v>102</v>
      </c>
      <c r="B996" t="s">
        <v>6</v>
      </c>
      <c r="C996" t="s">
        <v>9</v>
      </c>
      <c r="D996">
        <v>0.61</v>
      </c>
      <c r="E996" t="s">
        <v>37</v>
      </c>
      <c r="F996" t="s">
        <v>34</v>
      </c>
      <c r="G996">
        <v>1</v>
      </c>
      <c r="H996">
        <v>-8.7225000000000197</v>
      </c>
      <c r="I996" t="s">
        <v>49</v>
      </c>
      <c r="J996" s="1">
        <v>44548</v>
      </c>
      <c r="K996">
        <v>57.543164695051701</v>
      </c>
      <c r="L996" s="1">
        <v>44565</v>
      </c>
      <c r="M996" s="1">
        <v>44567</v>
      </c>
      <c r="N996">
        <v>517.88848225546599</v>
      </c>
      <c r="O996">
        <v>2</v>
      </c>
      <c r="P996" t="str">
        <f>IF(Table1[[#This Row],[Delivery Delay]]&gt;0,"Late","On Time")</f>
        <v>Late</v>
      </c>
      <c r="Q996">
        <v>57.543164695051779</v>
      </c>
      <c r="R996">
        <v>0</v>
      </c>
      <c r="S996">
        <v>1.9309176285305302E-3</v>
      </c>
      <c r="T996">
        <v>0.61</v>
      </c>
      <c r="U996">
        <v>0</v>
      </c>
      <c r="V996">
        <v>18.357927528855917</v>
      </c>
    </row>
    <row r="997" spans="1:22" x14ac:dyDescent="0.35">
      <c r="A997" t="s">
        <v>99</v>
      </c>
      <c r="B997" t="s">
        <v>8</v>
      </c>
      <c r="C997" t="s">
        <v>7</v>
      </c>
      <c r="D997">
        <v>0.94</v>
      </c>
      <c r="E997" t="s">
        <v>35</v>
      </c>
      <c r="F997" t="s">
        <v>34</v>
      </c>
      <c r="G997">
        <v>1</v>
      </c>
      <c r="H997">
        <v>16.672999999999998</v>
      </c>
      <c r="I997" t="s">
        <v>48</v>
      </c>
      <c r="J997" s="1">
        <v>45386</v>
      </c>
      <c r="K997">
        <v>63.874835014399402</v>
      </c>
      <c r="L997" s="1">
        <v>45397</v>
      </c>
      <c r="M997" s="1">
        <v>45402</v>
      </c>
      <c r="N997">
        <v>447.12384510079602</v>
      </c>
      <c r="O997">
        <v>5</v>
      </c>
      <c r="P997" t="str">
        <f>IF(Table1[[#This Row],[Delivery Delay]]&gt;0,"Late","On Time")</f>
        <v>Late</v>
      </c>
      <c r="Q997">
        <v>63.87483501439943</v>
      </c>
      <c r="R997">
        <v>4.6459332410072642E-2</v>
      </c>
      <c r="S997">
        <v>2.2365168195728142E-3</v>
      </c>
      <c r="T997">
        <v>0.94</v>
      </c>
      <c r="U997">
        <v>0</v>
      </c>
      <c r="V997">
        <v>29.196282152788633</v>
      </c>
    </row>
    <row r="998" spans="1:22" x14ac:dyDescent="0.35">
      <c r="A998" t="s">
        <v>103</v>
      </c>
      <c r="B998" t="s">
        <v>4</v>
      </c>
      <c r="C998" t="s">
        <v>9</v>
      </c>
      <c r="D998">
        <v>0.81</v>
      </c>
      <c r="E998" t="s">
        <v>38</v>
      </c>
      <c r="F998" t="s">
        <v>34</v>
      </c>
      <c r="G998">
        <v>1</v>
      </c>
      <c r="H998">
        <v>542.88049999999896</v>
      </c>
      <c r="I998" t="s">
        <v>47</v>
      </c>
      <c r="J998" s="1">
        <v>45172</v>
      </c>
      <c r="K998">
        <v>66.816229257996397</v>
      </c>
      <c r="L998" s="1">
        <v>45189</v>
      </c>
      <c r="M998" s="1">
        <v>45190</v>
      </c>
      <c r="N998">
        <v>801.79475109595705</v>
      </c>
      <c r="O998">
        <v>1</v>
      </c>
      <c r="P998" t="str">
        <f>IF(Table1[[#This Row],[Delivery Delay]]&gt;0,"Late","On Time")</f>
        <v>Late</v>
      </c>
      <c r="Q998">
        <v>66.816229257996426</v>
      </c>
      <c r="R998">
        <v>0.67895665289486129</v>
      </c>
      <c r="S998">
        <v>1.2472019786025292E-3</v>
      </c>
      <c r="T998">
        <v>0.81</v>
      </c>
      <c r="U998">
        <v>0</v>
      </c>
      <c r="V998">
        <v>37.916549117255308</v>
      </c>
    </row>
    <row r="999" spans="1:22" x14ac:dyDescent="0.35">
      <c r="A999" t="s">
        <v>104</v>
      </c>
      <c r="B999" t="s">
        <v>14</v>
      </c>
      <c r="C999" t="s">
        <v>9</v>
      </c>
      <c r="D999">
        <v>0.97</v>
      </c>
      <c r="E999" t="s">
        <v>36</v>
      </c>
      <c r="F999" t="s">
        <v>34</v>
      </c>
      <c r="G999">
        <v>1</v>
      </c>
      <c r="H999">
        <v>207.536</v>
      </c>
      <c r="I999" t="s">
        <v>46</v>
      </c>
      <c r="J999" s="1">
        <v>45154</v>
      </c>
      <c r="K999">
        <v>33.004088964093</v>
      </c>
      <c r="L999" s="1">
        <v>45172</v>
      </c>
      <c r="M999" s="1">
        <v>45169</v>
      </c>
      <c r="N999">
        <v>627.07769031776797</v>
      </c>
      <c r="O999">
        <v>-3</v>
      </c>
      <c r="P999" t="str">
        <f>IF(Table1[[#This Row],[Delivery Delay]]&gt;0,"Late","On Time")</f>
        <v>On Time</v>
      </c>
      <c r="Q999">
        <v>33.00408896409305</v>
      </c>
      <c r="R999">
        <v>0.77526746757515985</v>
      </c>
      <c r="S999">
        <v>1.5946987358029846E-3</v>
      </c>
      <c r="T999">
        <v>0.97</v>
      </c>
      <c r="U999">
        <v>0</v>
      </c>
      <c r="V999">
        <v>44.653190313577284</v>
      </c>
    </row>
    <row r="1000" spans="1:22" x14ac:dyDescent="0.35">
      <c r="A1000" t="s">
        <v>105</v>
      </c>
      <c r="B1000" t="s">
        <v>12</v>
      </c>
      <c r="C1000" t="s">
        <v>7</v>
      </c>
      <c r="D1000">
        <v>0.91</v>
      </c>
      <c r="E1000" t="s">
        <v>38</v>
      </c>
      <c r="F1000" t="s">
        <v>34</v>
      </c>
      <c r="G1000">
        <v>1</v>
      </c>
      <c r="H1000">
        <v>11.087999999999999</v>
      </c>
      <c r="I1000" t="s">
        <v>46</v>
      </c>
      <c r="J1000" s="1">
        <v>45258</v>
      </c>
      <c r="K1000">
        <v>35.535035457771599</v>
      </c>
      <c r="L1000" s="1">
        <v>45275</v>
      </c>
      <c r="M1000" s="1">
        <v>45280</v>
      </c>
      <c r="N1000">
        <v>319.81531911994398</v>
      </c>
      <c r="O1000">
        <v>5</v>
      </c>
      <c r="P1000" t="str">
        <f>IF(Table1[[#This Row],[Delivery Delay]]&gt;0,"Late","On Time")</f>
        <v>Late</v>
      </c>
      <c r="Q1000">
        <v>35.535035457771556</v>
      </c>
      <c r="R1000">
        <v>2.2620815720324459E-2</v>
      </c>
      <c r="S1000">
        <v>3.1268045656842303E-3</v>
      </c>
      <c r="T1000">
        <v>0.91</v>
      </c>
      <c r="U1000">
        <v>0</v>
      </c>
      <c r="V1000">
        <v>27.846220451377018</v>
      </c>
    </row>
    <row r="1001" spans="1:22" x14ac:dyDescent="0.35">
      <c r="A1001" t="s">
        <v>106</v>
      </c>
      <c r="B1001" t="s">
        <v>10</v>
      </c>
      <c r="C1001" t="s">
        <v>9</v>
      </c>
      <c r="D1001">
        <v>0.99</v>
      </c>
      <c r="E1001" t="s">
        <v>38</v>
      </c>
      <c r="F1001" t="s">
        <v>39</v>
      </c>
      <c r="G1001">
        <v>0</v>
      </c>
      <c r="H1001">
        <v>456.551999999999</v>
      </c>
      <c r="I1001" t="s">
        <v>45</v>
      </c>
      <c r="J1001" s="1">
        <v>44301</v>
      </c>
      <c r="K1001">
        <v>26.5713504170104</v>
      </c>
      <c r="L1001" s="1">
        <v>44313</v>
      </c>
      <c r="M1001" s="1">
        <v>44319</v>
      </c>
      <c r="N1001">
        <v>132.85675208505199</v>
      </c>
      <c r="O1001">
        <v>6</v>
      </c>
      <c r="P1001" t="str">
        <f>IF(Table1[[#This Row],[Delivery Delay]]&gt;0,"Late","On Time")</f>
        <v>Late</v>
      </c>
      <c r="Q1001">
        <v>26.5713504170104</v>
      </c>
      <c r="R1001">
        <v>0.63775647043046668</v>
      </c>
      <c r="S1001">
        <v>7.5269038592771093E-3</v>
      </c>
      <c r="T1001">
        <v>0.99</v>
      </c>
      <c r="U1001">
        <v>1</v>
      </c>
      <c r="V1001">
        <v>62.68093652438764</v>
      </c>
    </row>
    <row r="1002" spans="1:22" x14ac:dyDescent="0.35">
      <c r="J1002" s="1"/>
      <c r="L1002" s="1"/>
      <c r="M1002" s="1"/>
    </row>
    <row r="1003" spans="1:22" x14ac:dyDescent="0.35">
      <c r="J1003" s="1"/>
      <c r="L1003" s="1"/>
      <c r="M1003" s="1"/>
    </row>
    <row r="1004" spans="1:22" x14ac:dyDescent="0.35">
      <c r="J1004" s="1"/>
      <c r="L1004" s="1"/>
      <c r="M1004" s="1"/>
    </row>
    <row r="1005" spans="1:22" x14ac:dyDescent="0.35">
      <c r="J1005" s="1"/>
      <c r="L1005" s="1"/>
      <c r="M1005" s="1"/>
    </row>
    <row r="1006" spans="1:22" x14ac:dyDescent="0.35">
      <c r="J1006" s="1"/>
      <c r="L1006" s="1"/>
      <c r="M1006" s="1"/>
    </row>
    <row r="1007" spans="1:22" x14ac:dyDescent="0.35">
      <c r="J1007" s="1"/>
      <c r="L1007" s="1"/>
      <c r="M1007" s="1"/>
    </row>
    <row r="1008" spans="1:22" x14ac:dyDescent="0.35">
      <c r="J1008" s="1"/>
      <c r="L1008" s="1"/>
      <c r="M1008" s="1"/>
    </row>
    <row r="1009" spans="10:13" x14ac:dyDescent="0.35">
      <c r="J1009" s="1"/>
      <c r="L1009" s="1"/>
      <c r="M1009" s="1"/>
    </row>
    <row r="1010" spans="10:13" x14ac:dyDescent="0.35">
      <c r="J1010" s="1"/>
      <c r="L1010" s="1"/>
      <c r="M1010" s="1"/>
    </row>
    <row r="1011" spans="10:13" x14ac:dyDescent="0.35">
      <c r="J1011" s="1"/>
      <c r="L1011" s="1"/>
      <c r="M1011" s="1"/>
    </row>
    <row r="1012" spans="10:13" x14ac:dyDescent="0.35">
      <c r="J1012" s="1"/>
      <c r="L1012" s="1"/>
      <c r="M1012" s="1"/>
    </row>
    <row r="1013" spans="10:13" x14ac:dyDescent="0.35">
      <c r="J1013" s="1"/>
      <c r="L1013" s="1"/>
      <c r="M1013" s="1"/>
    </row>
    <row r="1014" spans="10:13" x14ac:dyDescent="0.35">
      <c r="J1014" s="1"/>
      <c r="L1014" s="1"/>
      <c r="M1014" s="1"/>
    </row>
    <row r="1015" spans="10:13" x14ac:dyDescent="0.35">
      <c r="J1015" s="1"/>
      <c r="L1015" s="1"/>
      <c r="M1015" s="1"/>
    </row>
    <row r="1016" spans="10:13" x14ac:dyDescent="0.35">
      <c r="J1016" s="1"/>
      <c r="L1016" s="1"/>
      <c r="M1016" s="1"/>
    </row>
    <row r="1017" spans="10:13" x14ac:dyDescent="0.35">
      <c r="J1017" s="1"/>
      <c r="L1017" s="1"/>
      <c r="M1017" s="1"/>
    </row>
    <row r="1018" spans="10:13" x14ac:dyDescent="0.35">
      <c r="J1018" s="1"/>
      <c r="L1018" s="1"/>
      <c r="M1018" s="1"/>
    </row>
    <row r="1019" spans="10:13" x14ac:dyDescent="0.35">
      <c r="J1019" s="1"/>
      <c r="L1019" s="1"/>
      <c r="M1019" s="1"/>
    </row>
    <row r="1020" spans="10:13" x14ac:dyDescent="0.35">
      <c r="J1020" s="1"/>
      <c r="L1020" s="1"/>
      <c r="M1020" s="1"/>
    </row>
    <row r="1021" spans="10:13" x14ac:dyDescent="0.35">
      <c r="J1021" s="1"/>
      <c r="L1021" s="1"/>
      <c r="M1021" s="1"/>
    </row>
    <row r="1022" spans="10:13" x14ac:dyDescent="0.35">
      <c r="J1022" s="1"/>
      <c r="L1022" s="1"/>
      <c r="M1022" s="1"/>
    </row>
    <row r="1023" spans="10:13" x14ac:dyDescent="0.35">
      <c r="J1023" s="1"/>
      <c r="L1023" s="1"/>
      <c r="M1023" s="1"/>
    </row>
    <row r="1024" spans="10:13" x14ac:dyDescent="0.35">
      <c r="J1024" s="1"/>
      <c r="L1024" s="1"/>
      <c r="M1024" s="1"/>
    </row>
    <row r="1025" spans="10:13" x14ac:dyDescent="0.35">
      <c r="J1025" s="1"/>
      <c r="L1025" s="1"/>
      <c r="M1025" s="1"/>
    </row>
    <row r="1026" spans="10:13" x14ac:dyDescent="0.35">
      <c r="J1026" s="1"/>
      <c r="L1026" s="1"/>
      <c r="M1026" s="1"/>
    </row>
    <row r="1027" spans="10:13" x14ac:dyDescent="0.35">
      <c r="J1027" s="1"/>
      <c r="L1027" s="1"/>
      <c r="M1027" s="1"/>
    </row>
    <row r="1028" spans="10:13" x14ac:dyDescent="0.35">
      <c r="J1028" s="1"/>
      <c r="L1028" s="1"/>
      <c r="M1028" s="1"/>
    </row>
    <row r="1029" spans="10:13" x14ac:dyDescent="0.35">
      <c r="J1029" s="1"/>
      <c r="L1029" s="1"/>
      <c r="M1029" s="1"/>
    </row>
    <row r="1030" spans="10:13" x14ac:dyDescent="0.35">
      <c r="J1030" s="1"/>
      <c r="L1030" s="1"/>
      <c r="M1030" s="1"/>
    </row>
    <row r="1031" spans="10:13" x14ac:dyDescent="0.35">
      <c r="J1031" s="1"/>
      <c r="L1031" s="1"/>
      <c r="M1031" s="1"/>
    </row>
    <row r="1032" spans="10:13" x14ac:dyDescent="0.35">
      <c r="J1032" s="1"/>
      <c r="L1032" s="1"/>
      <c r="M1032" s="1"/>
    </row>
    <row r="1033" spans="10:13" x14ac:dyDescent="0.35">
      <c r="J1033" s="1"/>
      <c r="L1033" s="1"/>
      <c r="M1033" s="1"/>
    </row>
    <row r="1034" spans="10:13" x14ac:dyDescent="0.35">
      <c r="J1034" s="1"/>
      <c r="L1034" s="1"/>
      <c r="M1034" s="1"/>
    </row>
    <row r="1035" spans="10:13" x14ac:dyDescent="0.35">
      <c r="J1035" s="1"/>
      <c r="L1035" s="1"/>
      <c r="M1035" s="1"/>
    </row>
    <row r="1036" spans="10:13" x14ac:dyDescent="0.35">
      <c r="J1036" s="1"/>
      <c r="L1036" s="1"/>
      <c r="M1036" s="1"/>
    </row>
    <row r="1037" spans="10:13" x14ac:dyDescent="0.35">
      <c r="J1037" s="1"/>
      <c r="L1037" s="1"/>
      <c r="M1037" s="1"/>
    </row>
    <row r="1038" spans="10:13" x14ac:dyDescent="0.35">
      <c r="J1038" s="1"/>
      <c r="L1038" s="1"/>
      <c r="M1038" s="1"/>
    </row>
    <row r="1039" spans="10:13" x14ac:dyDescent="0.35">
      <c r="J1039" s="1"/>
      <c r="L1039" s="1"/>
      <c r="M1039" s="1"/>
    </row>
    <row r="1040" spans="10:13" x14ac:dyDescent="0.35">
      <c r="J1040" s="1"/>
      <c r="L1040" s="1"/>
      <c r="M1040" s="1"/>
    </row>
    <row r="1041" spans="10:13" x14ac:dyDescent="0.35">
      <c r="J1041" s="1"/>
      <c r="L1041" s="1"/>
      <c r="M1041" s="1"/>
    </row>
    <row r="1042" spans="10:13" x14ac:dyDescent="0.35">
      <c r="J1042" s="1"/>
      <c r="L1042" s="1"/>
      <c r="M1042" s="1"/>
    </row>
    <row r="1043" spans="10:13" x14ac:dyDescent="0.35">
      <c r="J1043" s="1"/>
      <c r="L1043" s="1"/>
      <c r="M1043" s="1"/>
    </row>
    <row r="1044" spans="10:13" x14ac:dyDescent="0.35">
      <c r="J1044" s="1"/>
      <c r="L1044" s="1"/>
      <c r="M1044" s="1"/>
    </row>
    <row r="1045" spans="10:13" x14ac:dyDescent="0.35">
      <c r="J1045" s="1"/>
      <c r="L1045" s="1"/>
      <c r="M1045" s="1"/>
    </row>
    <row r="1046" spans="10:13" x14ac:dyDescent="0.35">
      <c r="J1046" s="1"/>
      <c r="L1046" s="1"/>
      <c r="M1046" s="1"/>
    </row>
    <row r="1047" spans="10:13" x14ac:dyDescent="0.35">
      <c r="J1047" s="1"/>
      <c r="L1047" s="1"/>
      <c r="M1047" s="1"/>
    </row>
    <row r="1048" spans="10:13" x14ac:dyDescent="0.35">
      <c r="J1048" s="1"/>
      <c r="L1048" s="1"/>
      <c r="M1048" s="1"/>
    </row>
    <row r="1049" spans="10:13" x14ac:dyDescent="0.35">
      <c r="J1049" s="1"/>
      <c r="L1049" s="1"/>
      <c r="M1049" s="1"/>
    </row>
    <row r="1050" spans="10:13" x14ac:dyDescent="0.35">
      <c r="J1050" s="1"/>
      <c r="L1050" s="1"/>
      <c r="M1050" s="1"/>
    </row>
    <row r="1051" spans="10:13" x14ac:dyDescent="0.35">
      <c r="J1051" s="1"/>
      <c r="L1051" s="1"/>
      <c r="M1051" s="1"/>
    </row>
    <row r="1052" spans="10:13" x14ac:dyDescent="0.35">
      <c r="J1052" s="1"/>
      <c r="L1052" s="1"/>
      <c r="M1052" s="1"/>
    </row>
    <row r="1053" spans="10:13" x14ac:dyDescent="0.35">
      <c r="J1053" s="1"/>
      <c r="L1053" s="1"/>
      <c r="M1053" s="1"/>
    </row>
    <row r="1054" spans="10:13" x14ac:dyDescent="0.35">
      <c r="J1054" s="1"/>
      <c r="L1054" s="1"/>
      <c r="M1054" s="1"/>
    </row>
    <row r="1055" spans="10:13" x14ac:dyDescent="0.35">
      <c r="J1055" s="1"/>
      <c r="L1055" s="1"/>
      <c r="M1055" s="1"/>
    </row>
    <row r="1056" spans="10:13" x14ac:dyDescent="0.35">
      <c r="J1056" s="1"/>
      <c r="L1056" s="1"/>
      <c r="M1056" s="1"/>
    </row>
    <row r="1057" spans="10:13" x14ac:dyDescent="0.35">
      <c r="J1057" s="1"/>
      <c r="L1057" s="1"/>
      <c r="M1057" s="1"/>
    </row>
    <row r="1058" spans="10:13" x14ac:dyDescent="0.35">
      <c r="J1058" s="1"/>
      <c r="L1058" s="1"/>
      <c r="M1058" s="1"/>
    </row>
    <row r="1059" spans="10:13" x14ac:dyDescent="0.35">
      <c r="J1059" s="1"/>
      <c r="L1059" s="1"/>
      <c r="M1059" s="1"/>
    </row>
    <row r="1060" spans="10:13" x14ac:dyDescent="0.35">
      <c r="J1060" s="1"/>
      <c r="L1060" s="1"/>
      <c r="M1060" s="1"/>
    </row>
    <row r="1061" spans="10:13" x14ac:dyDescent="0.35">
      <c r="J1061" s="1"/>
      <c r="L1061" s="1"/>
      <c r="M1061" s="1"/>
    </row>
    <row r="1062" spans="10:13" x14ac:dyDescent="0.35">
      <c r="J1062" s="1"/>
      <c r="L1062" s="1"/>
      <c r="M1062" s="1"/>
    </row>
    <row r="1063" spans="10:13" x14ac:dyDescent="0.35">
      <c r="J1063" s="1"/>
      <c r="L1063" s="1"/>
      <c r="M1063" s="1"/>
    </row>
    <row r="1064" spans="10:13" x14ac:dyDescent="0.35">
      <c r="J1064" s="1"/>
      <c r="L1064" s="1"/>
      <c r="M1064" s="1"/>
    </row>
    <row r="1065" spans="10:13" x14ac:dyDescent="0.35">
      <c r="J1065" s="1"/>
      <c r="L1065" s="1"/>
      <c r="M1065" s="1"/>
    </row>
    <row r="1066" spans="10:13" x14ac:dyDescent="0.35">
      <c r="J1066" s="1"/>
      <c r="L1066" s="1"/>
      <c r="M1066" s="1"/>
    </row>
    <row r="1067" spans="10:13" x14ac:dyDescent="0.35">
      <c r="J1067" s="1"/>
      <c r="L1067" s="1"/>
      <c r="M1067" s="1"/>
    </row>
    <row r="1068" spans="10:13" x14ac:dyDescent="0.35">
      <c r="J1068" s="1"/>
      <c r="L1068" s="1"/>
      <c r="M1068" s="1"/>
    </row>
    <row r="1069" spans="10:13" x14ac:dyDescent="0.35">
      <c r="J1069" s="1"/>
      <c r="L1069" s="1"/>
      <c r="M1069" s="1"/>
    </row>
    <row r="1070" spans="10:13" x14ac:dyDescent="0.35">
      <c r="J1070" s="1"/>
      <c r="L1070" s="1"/>
      <c r="M1070" s="1"/>
    </row>
    <row r="1071" spans="10:13" x14ac:dyDescent="0.35">
      <c r="J1071" s="1"/>
      <c r="L1071" s="1"/>
      <c r="M1071" s="1"/>
    </row>
    <row r="1072" spans="10:13" x14ac:dyDescent="0.35">
      <c r="J1072" s="1"/>
      <c r="L1072" s="1"/>
      <c r="M1072" s="1"/>
    </row>
    <row r="1073" spans="10:13" x14ac:dyDescent="0.35">
      <c r="J1073" s="1"/>
      <c r="L1073" s="1"/>
      <c r="M1073" s="1"/>
    </row>
    <row r="1074" spans="10:13" x14ac:dyDescent="0.35">
      <c r="J1074" s="1"/>
      <c r="L1074" s="1"/>
      <c r="M1074" s="1"/>
    </row>
    <row r="1075" spans="10:13" x14ac:dyDescent="0.35">
      <c r="J1075" s="1"/>
      <c r="L1075" s="1"/>
      <c r="M1075" s="1"/>
    </row>
    <row r="1076" spans="10:13" x14ac:dyDescent="0.35">
      <c r="J1076" s="1"/>
      <c r="L1076" s="1"/>
      <c r="M1076" s="1"/>
    </row>
    <row r="1077" spans="10:13" x14ac:dyDescent="0.35">
      <c r="J1077" s="1"/>
      <c r="L1077" s="1"/>
      <c r="M1077" s="1"/>
    </row>
    <row r="1078" spans="10:13" x14ac:dyDescent="0.35">
      <c r="J1078" s="1"/>
      <c r="L1078" s="1"/>
      <c r="M1078" s="1"/>
    </row>
    <row r="1079" spans="10:13" x14ac:dyDescent="0.35">
      <c r="J1079" s="1"/>
      <c r="L1079" s="1"/>
      <c r="M1079" s="1"/>
    </row>
    <row r="1080" spans="10:13" x14ac:dyDescent="0.35">
      <c r="J1080" s="1"/>
      <c r="L1080" s="1"/>
      <c r="M1080" s="1"/>
    </row>
    <row r="1081" spans="10:13" x14ac:dyDescent="0.35">
      <c r="J1081" s="1"/>
      <c r="L1081" s="1"/>
      <c r="M1081" s="1"/>
    </row>
    <row r="1082" spans="10:13" x14ac:dyDescent="0.35">
      <c r="J1082" s="1"/>
      <c r="L1082" s="1"/>
      <c r="M1082" s="1"/>
    </row>
    <row r="1083" spans="10:13" x14ac:dyDescent="0.35">
      <c r="J1083" s="1"/>
      <c r="L1083" s="1"/>
      <c r="M1083" s="1"/>
    </row>
    <row r="1084" spans="10:13" x14ac:dyDescent="0.35">
      <c r="J1084" s="1"/>
      <c r="L1084" s="1"/>
      <c r="M1084" s="1"/>
    </row>
    <row r="1085" spans="10:13" x14ac:dyDescent="0.35">
      <c r="J1085" s="1"/>
      <c r="L1085" s="1"/>
      <c r="M1085" s="1"/>
    </row>
    <row r="1086" spans="10:13" x14ac:dyDescent="0.35">
      <c r="J1086" s="1"/>
      <c r="L1086" s="1"/>
      <c r="M1086" s="1"/>
    </row>
    <row r="1087" spans="10:13" x14ac:dyDescent="0.35">
      <c r="J1087" s="1"/>
      <c r="L1087" s="1"/>
      <c r="M1087" s="1"/>
    </row>
    <row r="1088" spans="10:13" x14ac:dyDescent="0.35">
      <c r="J1088" s="1"/>
      <c r="L1088" s="1"/>
      <c r="M1088" s="1"/>
    </row>
    <row r="1089" spans="10:13" x14ac:dyDescent="0.35">
      <c r="J1089" s="1"/>
      <c r="L1089" s="1"/>
      <c r="M1089" s="1"/>
    </row>
    <row r="1090" spans="10:13" x14ac:dyDescent="0.35">
      <c r="J1090" s="1"/>
      <c r="L1090" s="1"/>
      <c r="M1090" s="1"/>
    </row>
    <row r="1091" spans="10:13" x14ac:dyDescent="0.35">
      <c r="J1091" s="1"/>
      <c r="L1091" s="1"/>
      <c r="M1091" s="1"/>
    </row>
    <row r="1092" spans="10:13" x14ac:dyDescent="0.35">
      <c r="J1092" s="1"/>
      <c r="L1092" s="1"/>
      <c r="M1092" s="1"/>
    </row>
    <row r="1093" spans="10:13" x14ac:dyDescent="0.35">
      <c r="J1093" s="1"/>
      <c r="L1093" s="1"/>
      <c r="M1093" s="1"/>
    </row>
    <row r="1094" spans="10:13" x14ac:dyDescent="0.35">
      <c r="J1094" s="1"/>
      <c r="L1094" s="1"/>
      <c r="M1094" s="1"/>
    </row>
    <row r="1095" spans="10:13" x14ac:dyDescent="0.35">
      <c r="J1095" s="1"/>
      <c r="L1095" s="1"/>
      <c r="M1095" s="1"/>
    </row>
    <row r="1096" spans="10:13" x14ac:dyDescent="0.35">
      <c r="J1096" s="1"/>
      <c r="L1096" s="1"/>
      <c r="M1096" s="1"/>
    </row>
    <row r="1097" spans="10:13" x14ac:dyDescent="0.35">
      <c r="J1097" s="1"/>
      <c r="L1097" s="1"/>
      <c r="M1097" s="1"/>
    </row>
    <row r="1098" spans="10:13" x14ac:dyDescent="0.35">
      <c r="J1098" s="1"/>
      <c r="L1098" s="1"/>
      <c r="M1098" s="1"/>
    </row>
    <row r="1099" spans="10:13" x14ac:dyDescent="0.35">
      <c r="J1099" s="1"/>
      <c r="L1099" s="1"/>
      <c r="M1099" s="1"/>
    </row>
    <row r="1100" spans="10:13" x14ac:dyDescent="0.35">
      <c r="J1100" s="1"/>
      <c r="L1100" s="1"/>
      <c r="M1100" s="1"/>
    </row>
    <row r="1101" spans="10:13" x14ac:dyDescent="0.35">
      <c r="J1101" s="1"/>
      <c r="L1101" s="1"/>
      <c r="M1101" s="1"/>
    </row>
    <row r="1102" spans="10:13" x14ac:dyDescent="0.35">
      <c r="J1102" s="1"/>
      <c r="L1102" s="1"/>
      <c r="M1102" s="1"/>
    </row>
    <row r="1103" spans="10:13" x14ac:dyDescent="0.35">
      <c r="J1103" s="1"/>
      <c r="L1103" s="1"/>
      <c r="M1103" s="1"/>
    </row>
    <row r="1104" spans="10:13" x14ac:dyDescent="0.35">
      <c r="J1104" s="1"/>
      <c r="L1104" s="1"/>
      <c r="M1104" s="1"/>
    </row>
    <row r="1105" spans="10:13" x14ac:dyDescent="0.35">
      <c r="J1105" s="1"/>
      <c r="L1105" s="1"/>
      <c r="M1105" s="1"/>
    </row>
    <row r="1106" spans="10:13" x14ac:dyDescent="0.35">
      <c r="J1106" s="1"/>
      <c r="L1106" s="1"/>
      <c r="M1106" s="1"/>
    </row>
    <row r="1107" spans="10:13" x14ac:dyDescent="0.35">
      <c r="J1107" s="1"/>
      <c r="L1107" s="1"/>
      <c r="M1107" s="1"/>
    </row>
    <row r="1108" spans="10:13" x14ac:dyDescent="0.35">
      <c r="J1108" s="1"/>
      <c r="L1108" s="1"/>
      <c r="M1108" s="1"/>
    </row>
    <row r="1109" spans="10:13" x14ac:dyDescent="0.35">
      <c r="J1109" s="1"/>
      <c r="L1109" s="1"/>
      <c r="M1109" s="1"/>
    </row>
    <row r="1110" spans="10:13" x14ac:dyDescent="0.35">
      <c r="J1110" s="1"/>
      <c r="L1110" s="1"/>
      <c r="M1110" s="1"/>
    </row>
    <row r="1111" spans="10:13" x14ac:dyDescent="0.35">
      <c r="J1111" s="1"/>
      <c r="L1111" s="1"/>
      <c r="M1111" s="1"/>
    </row>
    <row r="1112" spans="10:13" x14ac:dyDescent="0.35">
      <c r="J1112" s="1"/>
      <c r="L1112" s="1"/>
      <c r="M1112" s="1"/>
    </row>
    <row r="1113" spans="10:13" x14ac:dyDescent="0.35">
      <c r="J1113" s="1"/>
      <c r="L1113" s="1"/>
      <c r="M1113" s="1"/>
    </row>
    <row r="1114" spans="10:13" x14ac:dyDescent="0.35">
      <c r="J1114" s="1"/>
      <c r="L1114" s="1"/>
      <c r="M1114" s="1"/>
    </row>
    <row r="1115" spans="10:13" x14ac:dyDescent="0.35">
      <c r="J1115" s="1"/>
      <c r="L1115" s="1"/>
      <c r="M1115" s="1"/>
    </row>
    <row r="1116" spans="10:13" x14ac:dyDescent="0.35">
      <c r="J1116" s="1"/>
      <c r="L1116" s="1"/>
      <c r="M1116" s="1"/>
    </row>
    <row r="1117" spans="10:13" x14ac:dyDescent="0.35">
      <c r="J1117" s="1"/>
      <c r="L1117" s="1"/>
      <c r="M1117" s="1"/>
    </row>
    <row r="1118" spans="10:13" x14ac:dyDescent="0.35">
      <c r="J1118" s="1"/>
      <c r="L1118" s="1"/>
      <c r="M1118" s="1"/>
    </row>
    <row r="1119" spans="10:13" x14ac:dyDescent="0.35">
      <c r="J1119" s="1"/>
      <c r="L1119" s="1"/>
      <c r="M1119" s="1"/>
    </row>
    <row r="1120" spans="10:13" x14ac:dyDescent="0.35">
      <c r="J1120" s="1"/>
      <c r="L1120" s="1"/>
      <c r="M1120" s="1"/>
    </row>
    <row r="1121" spans="10:13" x14ac:dyDescent="0.35">
      <c r="J1121" s="1"/>
      <c r="L1121" s="1"/>
      <c r="M1121" s="1"/>
    </row>
    <row r="1122" spans="10:13" x14ac:dyDescent="0.35">
      <c r="J1122" s="1"/>
      <c r="L1122" s="1"/>
      <c r="M1122" s="1"/>
    </row>
    <row r="1123" spans="10:13" x14ac:dyDescent="0.35">
      <c r="J1123" s="1"/>
      <c r="L1123" s="1"/>
      <c r="M1123" s="1"/>
    </row>
    <row r="1124" spans="10:13" x14ac:dyDescent="0.35">
      <c r="J1124" s="1"/>
      <c r="L1124" s="1"/>
      <c r="M1124" s="1"/>
    </row>
    <row r="1125" spans="10:13" x14ac:dyDescent="0.35">
      <c r="J1125" s="1"/>
      <c r="L1125" s="1"/>
      <c r="M1125" s="1"/>
    </row>
    <row r="1126" spans="10:13" x14ac:dyDescent="0.35">
      <c r="J1126" s="1"/>
      <c r="L1126" s="1"/>
      <c r="M1126" s="1"/>
    </row>
    <row r="1127" spans="10:13" x14ac:dyDescent="0.35">
      <c r="J1127" s="1"/>
      <c r="L1127" s="1"/>
      <c r="M1127" s="1"/>
    </row>
    <row r="1128" spans="10:13" x14ac:dyDescent="0.35">
      <c r="J1128" s="1"/>
      <c r="L1128" s="1"/>
      <c r="M1128" s="1"/>
    </row>
    <row r="1129" spans="10:13" x14ac:dyDescent="0.35">
      <c r="J1129" s="1"/>
      <c r="L1129" s="1"/>
      <c r="M1129" s="1"/>
    </row>
    <row r="1130" spans="10:13" x14ac:dyDescent="0.35">
      <c r="J1130" s="1"/>
      <c r="L1130" s="1"/>
      <c r="M1130" s="1"/>
    </row>
    <row r="1131" spans="10:13" x14ac:dyDescent="0.35">
      <c r="J1131" s="1"/>
      <c r="L1131" s="1"/>
      <c r="M1131" s="1"/>
    </row>
    <row r="1132" spans="10:13" x14ac:dyDescent="0.35">
      <c r="J1132" s="1"/>
      <c r="L1132" s="1"/>
      <c r="M1132" s="1"/>
    </row>
    <row r="1133" spans="10:13" x14ac:dyDescent="0.35">
      <c r="J1133" s="1"/>
      <c r="L1133" s="1"/>
      <c r="M1133" s="1"/>
    </row>
    <row r="1134" spans="10:13" x14ac:dyDescent="0.35">
      <c r="J1134" s="1"/>
      <c r="L1134" s="1"/>
      <c r="M1134" s="1"/>
    </row>
    <row r="1135" spans="10:13" x14ac:dyDescent="0.35">
      <c r="J1135" s="1"/>
      <c r="L1135" s="1"/>
      <c r="M1135" s="1"/>
    </row>
    <row r="1136" spans="10:13" x14ac:dyDescent="0.35">
      <c r="J1136" s="1"/>
      <c r="L1136" s="1"/>
      <c r="M1136" s="1"/>
    </row>
    <row r="1137" spans="10:13" x14ac:dyDescent="0.35">
      <c r="J1137" s="1"/>
      <c r="L1137" s="1"/>
      <c r="M1137" s="1"/>
    </row>
    <row r="1138" spans="10:13" x14ac:dyDescent="0.35">
      <c r="J1138" s="1"/>
      <c r="L1138" s="1"/>
      <c r="M1138" s="1"/>
    </row>
    <row r="1139" spans="10:13" x14ac:dyDescent="0.35">
      <c r="J1139" s="1"/>
      <c r="L1139" s="1"/>
      <c r="M1139" s="1"/>
    </row>
    <row r="1140" spans="10:13" x14ac:dyDescent="0.35">
      <c r="J1140" s="1"/>
      <c r="L1140" s="1"/>
      <c r="M1140" s="1"/>
    </row>
    <row r="1141" spans="10:13" x14ac:dyDescent="0.35">
      <c r="J1141" s="1"/>
      <c r="L1141" s="1"/>
      <c r="M1141" s="1"/>
    </row>
    <row r="1142" spans="10:13" x14ac:dyDescent="0.35">
      <c r="J1142" s="1"/>
      <c r="L1142" s="1"/>
      <c r="M1142" s="1"/>
    </row>
    <row r="1143" spans="10:13" x14ac:dyDescent="0.35">
      <c r="J1143" s="1"/>
      <c r="L1143" s="1"/>
      <c r="M1143" s="1"/>
    </row>
    <row r="1144" spans="10:13" x14ac:dyDescent="0.35">
      <c r="J1144" s="1"/>
      <c r="L1144" s="1"/>
      <c r="M1144" s="1"/>
    </row>
    <row r="1145" spans="10:13" x14ac:dyDescent="0.35">
      <c r="J1145" s="1"/>
      <c r="L1145" s="1"/>
      <c r="M1145" s="1"/>
    </row>
    <row r="1146" spans="10:13" x14ac:dyDescent="0.35">
      <c r="J1146" s="1"/>
      <c r="L1146" s="1"/>
      <c r="M1146" s="1"/>
    </row>
    <row r="1147" spans="10:13" x14ac:dyDescent="0.35">
      <c r="J1147" s="1"/>
      <c r="L1147" s="1"/>
      <c r="M1147" s="1"/>
    </row>
    <row r="1148" spans="10:13" x14ac:dyDescent="0.35">
      <c r="J1148" s="1"/>
      <c r="L1148" s="1"/>
      <c r="M1148" s="1"/>
    </row>
    <row r="1149" spans="10:13" x14ac:dyDescent="0.35">
      <c r="J1149" s="1"/>
      <c r="L1149" s="1"/>
      <c r="M1149" s="1"/>
    </row>
    <row r="1150" spans="10:13" x14ac:dyDescent="0.35">
      <c r="J1150" s="1"/>
      <c r="L1150" s="1"/>
      <c r="M1150" s="1"/>
    </row>
    <row r="1151" spans="10:13" x14ac:dyDescent="0.35">
      <c r="J1151" s="1"/>
      <c r="L1151" s="1"/>
      <c r="M1151" s="1"/>
    </row>
    <row r="1152" spans="10:13" x14ac:dyDescent="0.35">
      <c r="J1152" s="1"/>
      <c r="L1152" s="1"/>
      <c r="M1152" s="1"/>
    </row>
    <row r="1153" spans="10:13" x14ac:dyDescent="0.35">
      <c r="J1153" s="1"/>
      <c r="L1153" s="1"/>
      <c r="M1153" s="1"/>
    </row>
    <row r="1154" spans="10:13" x14ac:dyDescent="0.35">
      <c r="J1154" s="1"/>
      <c r="L1154" s="1"/>
      <c r="M1154" s="1"/>
    </row>
    <row r="1155" spans="10:13" x14ac:dyDescent="0.35">
      <c r="J1155" s="1"/>
      <c r="L1155" s="1"/>
      <c r="M1155" s="1"/>
    </row>
    <row r="1156" spans="10:13" x14ac:dyDescent="0.35">
      <c r="J1156" s="1"/>
      <c r="L1156" s="1"/>
      <c r="M1156" s="1"/>
    </row>
    <row r="1157" spans="10:13" x14ac:dyDescent="0.35">
      <c r="J1157" s="1"/>
      <c r="L1157" s="1"/>
      <c r="M1157" s="1"/>
    </row>
    <row r="1158" spans="10:13" x14ac:dyDescent="0.35">
      <c r="J1158" s="1"/>
      <c r="L1158" s="1"/>
      <c r="M1158" s="1"/>
    </row>
    <row r="1159" spans="10:13" x14ac:dyDescent="0.35">
      <c r="J1159" s="1"/>
      <c r="L1159" s="1"/>
      <c r="M1159" s="1"/>
    </row>
    <row r="1160" spans="10:13" x14ac:dyDescent="0.35">
      <c r="J1160" s="1"/>
      <c r="L1160" s="1"/>
      <c r="M1160" s="1"/>
    </row>
    <row r="1161" spans="10:13" x14ac:dyDescent="0.35">
      <c r="J1161" s="1"/>
      <c r="L1161" s="1"/>
      <c r="M1161" s="1"/>
    </row>
    <row r="1162" spans="10:13" x14ac:dyDescent="0.35">
      <c r="J1162" s="1"/>
      <c r="L1162" s="1"/>
      <c r="M1162" s="1"/>
    </row>
    <row r="1163" spans="10:13" x14ac:dyDescent="0.35">
      <c r="J1163" s="1"/>
      <c r="L1163" s="1"/>
      <c r="M1163" s="1"/>
    </row>
    <row r="1164" spans="10:13" x14ac:dyDescent="0.35">
      <c r="J1164" s="1"/>
      <c r="L1164" s="1"/>
      <c r="M1164" s="1"/>
    </row>
    <row r="1165" spans="10:13" x14ac:dyDescent="0.35">
      <c r="J1165" s="1"/>
      <c r="L1165" s="1"/>
      <c r="M1165" s="1"/>
    </row>
    <row r="1166" spans="10:13" x14ac:dyDescent="0.35">
      <c r="J1166" s="1"/>
      <c r="L1166" s="1"/>
      <c r="M1166" s="1"/>
    </row>
    <row r="1167" spans="10:13" x14ac:dyDescent="0.35">
      <c r="J1167" s="1"/>
      <c r="L1167" s="1"/>
      <c r="M1167" s="1"/>
    </row>
    <row r="1168" spans="10:13" x14ac:dyDescent="0.35">
      <c r="J1168" s="1"/>
      <c r="L1168" s="1"/>
      <c r="M1168" s="1"/>
    </row>
    <row r="1169" spans="10:13" x14ac:dyDescent="0.35">
      <c r="J1169" s="1"/>
      <c r="L1169" s="1"/>
      <c r="M1169" s="1"/>
    </row>
    <row r="1170" spans="10:13" x14ac:dyDescent="0.35">
      <c r="J1170" s="1"/>
      <c r="L1170" s="1"/>
      <c r="M1170" s="1"/>
    </row>
    <row r="1171" spans="10:13" x14ac:dyDescent="0.35">
      <c r="J1171" s="1"/>
      <c r="L1171" s="1"/>
      <c r="M1171" s="1"/>
    </row>
    <row r="1172" spans="10:13" x14ac:dyDescent="0.35">
      <c r="J1172" s="1"/>
      <c r="L1172" s="1"/>
      <c r="M1172" s="1"/>
    </row>
    <row r="1173" spans="10:13" x14ac:dyDescent="0.35">
      <c r="J1173" s="1"/>
      <c r="L1173" s="1"/>
      <c r="M1173" s="1"/>
    </row>
    <row r="1174" spans="10:13" x14ac:dyDescent="0.35">
      <c r="J1174" s="1"/>
      <c r="L1174" s="1"/>
      <c r="M1174" s="1"/>
    </row>
    <row r="1175" spans="10:13" x14ac:dyDescent="0.35">
      <c r="J1175" s="1"/>
      <c r="L1175" s="1"/>
      <c r="M1175" s="1"/>
    </row>
    <row r="1176" spans="10:13" x14ac:dyDescent="0.35">
      <c r="J1176" s="1"/>
      <c r="L1176" s="1"/>
      <c r="M1176" s="1"/>
    </row>
    <row r="1177" spans="10:13" x14ac:dyDescent="0.35">
      <c r="J1177" s="1"/>
      <c r="L1177" s="1"/>
      <c r="M1177" s="1"/>
    </row>
    <row r="1178" spans="10:13" x14ac:dyDescent="0.35">
      <c r="J1178" s="1"/>
      <c r="L1178" s="1"/>
      <c r="M1178" s="1"/>
    </row>
    <row r="1179" spans="10:13" x14ac:dyDescent="0.35">
      <c r="J1179" s="1"/>
      <c r="L1179" s="1"/>
      <c r="M1179" s="1"/>
    </row>
    <row r="1180" spans="10:13" x14ac:dyDescent="0.35">
      <c r="J1180" s="1"/>
      <c r="L1180" s="1"/>
      <c r="M1180" s="1"/>
    </row>
    <row r="1181" spans="10:13" x14ac:dyDescent="0.35">
      <c r="J1181" s="1"/>
      <c r="L1181" s="1"/>
      <c r="M1181" s="1"/>
    </row>
    <row r="1182" spans="10:13" x14ac:dyDescent="0.35">
      <c r="J1182" s="1"/>
      <c r="L1182" s="1"/>
      <c r="M1182" s="1"/>
    </row>
    <row r="1183" spans="10:13" x14ac:dyDescent="0.35">
      <c r="J1183" s="1"/>
      <c r="L1183" s="1"/>
      <c r="M1183" s="1"/>
    </row>
    <row r="1184" spans="10:13" x14ac:dyDescent="0.35">
      <c r="J1184" s="1"/>
      <c r="L1184" s="1"/>
      <c r="M1184" s="1"/>
    </row>
    <row r="1185" spans="10:13" x14ac:dyDescent="0.35">
      <c r="J1185" s="1"/>
      <c r="L1185" s="1"/>
      <c r="M1185" s="1"/>
    </row>
    <row r="1186" spans="10:13" x14ac:dyDescent="0.35">
      <c r="J1186" s="1"/>
      <c r="L1186" s="1"/>
      <c r="M1186" s="1"/>
    </row>
    <row r="1187" spans="10:13" x14ac:dyDescent="0.35">
      <c r="J1187" s="1"/>
      <c r="L1187" s="1"/>
      <c r="M1187" s="1"/>
    </row>
    <row r="1188" spans="10:13" x14ac:dyDescent="0.35">
      <c r="J1188" s="1"/>
      <c r="L1188" s="1"/>
      <c r="M1188" s="1"/>
    </row>
    <row r="1189" spans="10:13" x14ac:dyDescent="0.35">
      <c r="J1189" s="1"/>
      <c r="L1189" s="1"/>
      <c r="M1189" s="1"/>
    </row>
    <row r="1190" spans="10:13" x14ac:dyDescent="0.35">
      <c r="J1190" s="1"/>
      <c r="L1190" s="1"/>
      <c r="M1190" s="1"/>
    </row>
    <row r="1191" spans="10:13" x14ac:dyDescent="0.35">
      <c r="J1191" s="1"/>
      <c r="L1191" s="1"/>
      <c r="M1191" s="1"/>
    </row>
    <row r="1192" spans="10:13" x14ac:dyDescent="0.35">
      <c r="J1192" s="1"/>
      <c r="L1192" s="1"/>
      <c r="M1192" s="1"/>
    </row>
    <row r="1193" spans="10:13" x14ac:dyDescent="0.35">
      <c r="J1193" s="1"/>
      <c r="L1193" s="1"/>
      <c r="M1193" s="1"/>
    </row>
    <row r="1194" spans="10:13" x14ac:dyDescent="0.35">
      <c r="J1194" s="1"/>
      <c r="L1194" s="1"/>
      <c r="M1194" s="1"/>
    </row>
    <row r="1195" spans="10:13" x14ac:dyDescent="0.35">
      <c r="J1195" s="1"/>
      <c r="L1195" s="1"/>
      <c r="M1195" s="1"/>
    </row>
    <row r="1196" spans="10:13" x14ac:dyDescent="0.35">
      <c r="J1196" s="1"/>
      <c r="L1196" s="1"/>
      <c r="M1196" s="1"/>
    </row>
    <row r="1197" spans="10:13" x14ac:dyDescent="0.35">
      <c r="J1197" s="1"/>
      <c r="L1197" s="1"/>
      <c r="M1197" s="1"/>
    </row>
    <row r="1198" spans="10:13" x14ac:dyDescent="0.35">
      <c r="J1198" s="1"/>
      <c r="L1198" s="1"/>
      <c r="M1198" s="1"/>
    </row>
    <row r="1199" spans="10:13" x14ac:dyDescent="0.35">
      <c r="J1199" s="1"/>
      <c r="L1199" s="1"/>
      <c r="M1199" s="1"/>
    </row>
    <row r="1200" spans="10:13" x14ac:dyDescent="0.35">
      <c r="J1200" s="1"/>
      <c r="L1200" s="1"/>
      <c r="M1200" s="1"/>
    </row>
    <row r="1201" spans="10:13" x14ac:dyDescent="0.35">
      <c r="J1201" s="1"/>
      <c r="L1201" s="1"/>
      <c r="M1201" s="1"/>
    </row>
    <row r="1202" spans="10:13" x14ac:dyDescent="0.35">
      <c r="J1202" s="1"/>
      <c r="L1202" s="1"/>
      <c r="M1202" s="1"/>
    </row>
    <row r="1203" spans="10:13" x14ac:dyDescent="0.35">
      <c r="J1203" s="1"/>
      <c r="L1203" s="1"/>
      <c r="M1203" s="1"/>
    </row>
    <row r="1204" spans="10:13" x14ac:dyDescent="0.35">
      <c r="J1204" s="1"/>
      <c r="L1204" s="1"/>
      <c r="M1204" s="1"/>
    </row>
    <row r="1205" spans="10:13" x14ac:dyDescent="0.35">
      <c r="J1205" s="1"/>
      <c r="L1205" s="1"/>
      <c r="M1205" s="1"/>
    </row>
    <row r="1206" spans="10:13" x14ac:dyDescent="0.35">
      <c r="J1206" s="1"/>
      <c r="L1206" s="1"/>
      <c r="M1206" s="1"/>
    </row>
    <row r="1207" spans="10:13" x14ac:dyDescent="0.35">
      <c r="J1207" s="1"/>
      <c r="L1207" s="1"/>
      <c r="M1207" s="1"/>
    </row>
    <row r="1208" spans="10:13" x14ac:dyDescent="0.35">
      <c r="J1208" s="1"/>
      <c r="L1208" s="1"/>
      <c r="M1208" s="1"/>
    </row>
    <row r="1209" spans="10:13" x14ac:dyDescent="0.35">
      <c r="J1209" s="1"/>
      <c r="L1209" s="1"/>
      <c r="M1209" s="1"/>
    </row>
    <row r="1210" spans="10:13" x14ac:dyDescent="0.35">
      <c r="J1210" s="1"/>
      <c r="L1210" s="1"/>
      <c r="M1210" s="1"/>
    </row>
    <row r="1211" spans="10:13" x14ac:dyDescent="0.35">
      <c r="J1211" s="1"/>
      <c r="L1211" s="1"/>
      <c r="M1211" s="1"/>
    </row>
    <row r="1212" spans="10:13" x14ac:dyDescent="0.35">
      <c r="J1212" s="1"/>
      <c r="L1212" s="1"/>
      <c r="M1212" s="1"/>
    </row>
    <row r="1213" spans="10:13" x14ac:dyDescent="0.35">
      <c r="J1213" s="1"/>
      <c r="L1213" s="1"/>
      <c r="M1213" s="1"/>
    </row>
    <row r="1214" spans="10:13" x14ac:dyDescent="0.35">
      <c r="J1214" s="1"/>
      <c r="L1214" s="1"/>
      <c r="M1214" s="1"/>
    </row>
    <row r="1215" spans="10:13" x14ac:dyDescent="0.35">
      <c r="J1215" s="1"/>
      <c r="L1215" s="1"/>
      <c r="M1215" s="1"/>
    </row>
    <row r="1216" spans="10:13" x14ac:dyDescent="0.35">
      <c r="J1216" s="1"/>
      <c r="L1216" s="1"/>
      <c r="M1216" s="1"/>
    </row>
    <row r="1217" spans="10:13" x14ac:dyDescent="0.35">
      <c r="J1217" s="1"/>
      <c r="L1217" s="1"/>
      <c r="M1217" s="1"/>
    </row>
    <row r="1218" spans="10:13" x14ac:dyDescent="0.35">
      <c r="J1218" s="1"/>
      <c r="L1218" s="1"/>
      <c r="M1218" s="1"/>
    </row>
    <row r="1219" spans="10:13" x14ac:dyDescent="0.35">
      <c r="J1219" s="1"/>
      <c r="L1219" s="1"/>
      <c r="M1219" s="1"/>
    </row>
    <row r="1220" spans="10:13" x14ac:dyDescent="0.35">
      <c r="J1220" s="1"/>
      <c r="L1220" s="1"/>
      <c r="M1220" s="1"/>
    </row>
    <row r="1221" spans="10:13" x14ac:dyDescent="0.35">
      <c r="J1221" s="1"/>
      <c r="L1221" s="1"/>
      <c r="M1221" s="1"/>
    </row>
    <row r="1222" spans="10:13" x14ac:dyDescent="0.35">
      <c r="J1222" s="1"/>
      <c r="L1222" s="1"/>
      <c r="M1222" s="1"/>
    </row>
    <row r="1223" spans="10:13" x14ac:dyDescent="0.35">
      <c r="J1223" s="1"/>
      <c r="L1223" s="1"/>
      <c r="M1223" s="1"/>
    </row>
    <row r="1224" spans="10:13" x14ac:dyDescent="0.35">
      <c r="J1224" s="1"/>
      <c r="L1224" s="1"/>
      <c r="M1224" s="1"/>
    </row>
    <row r="1225" spans="10:13" x14ac:dyDescent="0.35">
      <c r="J1225" s="1"/>
      <c r="L1225" s="1"/>
      <c r="M1225" s="1"/>
    </row>
    <row r="1226" spans="10:13" x14ac:dyDescent="0.35">
      <c r="J1226" s="1"/>
      <c r="L1226" s="1"/>
      <c r="M1226" s="1"/>
    </row>
    <row r="1227" spans="10:13" x14ac:dyDescent="0.35">
      <c r="J1227" s="1"/>
      <c r="L1227" s="1"/>
      <c r="M1227" s="1"/>
    </row>
    <row r="1228" spans="10:13" x14ac:dyDescent="0.35">
      <c r="J1228" s="1"/>
      <c r="L1228" s="1"/>
      <c r="M1228" s="1"/>
    </row>
    <row r="1229" spans="10:13" x14ac:dyDescent="0.35">
      <c r="J1229" s="1"/>
      <c r="L1229" s="1"/>
      <c r="M1229" s="1"/>
    </row>
    <row r="1230" spans="10:13" x14ac:dyDescent="0.35">
      <c r="J1230" s="1"/>
      <c r="L1230" s="1"/>
      <c r="M1230" s="1"/>
    </row>
    <row r="1231" spans="10:13" x14ac:dyDescent="0.35">
      <c r="J1231" s="1"/>
      <c r="L1231" s="1"/>
      <c r="M1231" s="1"/>
    </row>
    <row r="1232" spans="10:13" x14ac:dyDescent="0.35">
      <c r="J1232" s="1"/>
      <c r="L1232" s="1"/>
      <c r="M1232" s="1"/>
    </row>
    <row r="1233" spans="10:13" x14ac:dyDescent="0.35">
      <c r="J1233" s="1"/>
      <c r="L1233" s="1"/>
      <c r="M1233" s="1"/>
    </row>
    <row r="1234" spans="10:13" x14ac:dyDescent="0.35">
      <c r="J1234" s="1"/>
      <c r="L1234" s="1"/>
      <c r="M1234" s="1"/>
    </row>
    <row r="1235" spans="10:13" x14ac:dyDescent="0.35">
      <c r="J1235" s="1"/>
      <c r="L1235" s="1"/>
      <c r="M1235" s="1"/>
    </row>
    <row r="1236" spans="10:13" x14ac:dyDescent="0.35">
      <c r="J1236" s="1"/>
      <c r="L1236" s="1"/>
      <c r="M1236" s="1"/>
    </row>
    <row r="1237" spans="10:13" x14ac:dyDescent="0.35">
      <c r="J1237" s="1"/>
      <c r="L1237" s="1"/>
      <c r="M1237" s="1"/>
    </row>
    <row r="1238" spans="10:13" x14ac:dyDescent="0.35">
      <c r="J1238" s="1"/>
      <c r="L1238" s="1"/>
      <c r="M1238" s="1"/>
    </row>
    <row r="1239" spans="10:13" x14ac:dyDescent="0.35">
      <c r="J1239" s="1"/>
      <c r="L1239" s="1"/>
      <c r="M1239" s="1"/>
    </row>
    <row r="1240" spans="10:13" x14ac:dyDescent="0.35">
      <c r="J1240" s="1"/>
      <c r="L1240" s="1"/>
      <c r="M1240" s="1"/>
    </row>
    <row r="1241" spans="10:13" x14ac:dyDescent="0.35">
      <c r="J1241" s="1"/>
      <c r="L1241" s="1"/>
      <c r="M1241" s="1"/>
    </row>
    <row r="1242" spans="10:13" x14ac:dyDescent="0.35">
      <c r="J1242" s="1"/>
      <c r="L1242" s="1"/>
      <c r="M1242" s="1"/>
    </row>
    <row r="1243" spans="10:13" x14ac:dyDescent="0.35">
      <c r="J1243" s="1"/>
      <c r="L1243" s="1"/>
      <c r="M1243" s="1"/>
    </row>
    <row r="1244" spans="10:13" x14ac:dyDescent="0.35">
      <c r="J1244" s="1"/>
      <c r="L1244" s="1"/>
      <c r="M1244" s="1"/>
    </row>
    <row r="1245" spans="10:13" x14ac:dyDescent="0.35">
      <c r="J1245" s="1"/>
      <c r="L1245" s="1"/>
      <c r="M1245" s="1"/>
    </row>
    <row r="1246" spans="10:13" x14ac:dyDescent="0.35">
      <c r="J1246" s="1"/>
      <c r="L1246" s="1"/>
      <c r="M1246" s="1"/>
    </row>
    <row r="1247" spans="10:13" x14ac:dyDescent="0.35">
      <c r="J1247" s="1"/>
      <c r="L1247" s="1"/>
      <c r="M1247" s="1"/>
    </row>
    <row r="1248" spans="10:13" x14ac:dyDescent="0.35">
      <c r="J1248" s="1"/>
      <c r="L1248" s="1"/>
      <c r="M1248" s="1"/>
    </row>
    <row r="1249" spans="10:13" x14ac:dyDescent="0.35">
      <c r="J1249" s="1"/>
      <c r="L1249" s="1"/>
      <c r="M1249" s="1"/>
    </row>
    <row r="1250" spans="10:13" x14ac:dyDescent="0.35">
      <c r="J1250" s="1"/>
      <c r="L1250" s="1"/>
      <c r="M1250" s="1"/>
    </row>
    <row r="1251" spans="10:13" x14ac:dyDescent="0.35">
      <c r="J1251" s="1"/>
      <c r="L1251" s="1"/>
      <c r="M1251" s="1"/>
    </row>
    <row r="1252" spans="10:13" x14ac:dyDescent="0.35">
      <c r="J1252" s="1"/>
      <c r="L1252" s="1"/>
      <c r="M1252" s="1"/>
    </row>
    <row r="1253" spans="10:13" x14ac:dyDescent="0.35">
      <c r="J1253" s="1"/>
      <c r="L1253" s="1"/>
      <c r="M1253" s="1"/>
    </row>
    <row r="1254" spans="10:13" x14ac:dyDescent="0.35">
      <c r="J1254" s="1"/>
      <c r="L1254" s="1"/>
      <c r="M1254" s="1"/>
    </row>
    <row r="1255" spans="10:13" x14ac:dyDescent="0.35">
      <c r="J1255" s="1"/>
      <c r="L1255" s="1"/>
      <c r="M1255" s="1"/>
    </row>
    <row r="1256" spans="10:13" x14ac:dyDescent="0.35">
      <c r="J1256" s="1"/>
      <c r="L1256" s="1"/>
      <c r="M1256" s="1"/>
    </row>
    <row r="1257" spans="10:13" x14ac:dyDescent="0.35">
      <c r="J1257" s="1"/>
      <c r="L1257" s="1"/>
      <c r="M1257" s="1"/>
    </row>
    <row r="1258" spans="10:13" x14ac:dyDescent="0.35">
      <c r="J1258" s="1"/>
      <c r="L1258" s="1"/>
      <c r="M1258" s="1"/>
    </row>
    <row r="1259" spans="10:13" x14ac:dyDescent="0.35">
      <c r="J1259" s="1"/>
      <c r="L1259" s="1"/>
      <c r="M1259" s="1"/>
    </row>
    <row r="1260" spans="10:13" x14ac:dyDescent="0.35">
      <c r="J1260" s="1"/>
      <c r="L1260" s="1"/>
      <c r="M1260" s="1"/>
    </row>
    <row r="1261" spans="10:13" x14ac:dyDescent="0.35">
      <c r="J1261" s="1"/>
      <c r="L1261" s="1"/>
      <c r="M1261" s="1"/>
    </row>
    <row r="1262" spans="10:13" x14ac:dyDescent="0.35">
      <c r="J1262" s="1"/>
      <c r="L1262" s="1"/>
      <c r="M1262" s="1"/>
    </row>
    <row r="1263" spans="10:13" x14ac:dyDescent="0.35">
      <c r="J1263" s="1"/>
      <c r="L1263" s="1"/>
      <c r="M1263" s="1"/>
    </row>
    <row r="1264" spans="10:13" x14ac:dyDescent="0.35">
      <c r="J1264" s="1"/>
      <c r="L1264" s="1"/>
      <c r="M1264" s="1"/>
    </row>
    <row r="1265" spans="10:13" x14ac:dyDescent="0.35">
      <c r="J1265" s="1"/>
      <c r="L1265" s="1"/>
      <c r="M1265" s="1"/>
    </row>
    <row r="1266" spans="10:13" x14ac:dyDescent="0.35">
      <c r="J1266" s="1"/>
      <c r="L1266" s="1"/>
      <c r="M1266" s="1"/>
    </row>
    <row r="1267" spans="10:13" x14ac:dyDescent="0.35">
      <c r="J1267" s="1"/>
      <c r="L1267" s="1"/>
      <c r="M1267" s="1"/>
    </row>
    <row r="1268" spans="10:13" x14ac:dyDescent="0.35">
      <c r="J1268" s="1"/>
      <c r="L1268" s="1"/>
      <c r="M1268" s="1"/>
    </row>
    <row r="1269" spans="10:13" x14ac:dyDescent="0.35">
      <c r="J1269" s="1"/>
      <c r="L1269" s="1"/>
      <c r="M1269" s="1"/>
    </row>
    <row r="1270" spans="10:13" x14ac:dyDescent="0.35">
      <c r="J1270" s="1"/>
      <c r="L1270" s="1"/>
      <c r="M1270" s="1"/>
    </row>
    <row r="1271" spans="10:13" x14ac:dyDescent="0.35">
      <c r="J1271" s="1"/>
      <c r="L1271" s="1"/>
      <c r="M1271" s="1"/>
    </row>
    <row r="1272" spans="10:13" x14ac:dyDescent="0.35">
      <c r="J1272" s="1"/>
      <c r="L1272" s="1"/>
      <c r="M1272" s="1"/>
    </row>
    <row r="1273" spans="10:13" x14ac:dyDescent="0.35">
      <c r="J1273" s="1"/>
      <c r="L1273" s="1"/>
      <c r="M1273" s="1"/>
    </row>
    <row r="1274" spans="10:13" x14ac:dyDescent="0.35">
      <c r="J1274" s="1"/>
      <c r="L1274" s="1"/>
      <c r="M1274" s="1"/>
    </row>
    <row r="1275" spans="10:13" x14ac:dyDescent="0.35">
      <c r="J1275" s="1"/>
      <c r="L1275" s="1"/>
      <c r="M1275" s="1"/>
    </row>
    <row r="1276" spans="10:13" x14ac:dyDescent="0.35">
      <c r="J1276" s="1"/>
      <c r="L1276" s="1"/>
      <c r="M1276" s="1"/>
    </row>
    <row r="1277" spans="10:13" x14ac:dyDescent="0.35">
      <c r="J1277" s="1"/>
      <c r="L1277" s="1"/>
      <c r="M1277" s="1"/>
    </row>
    <row r="1278" spans="10:13" x14ac:dyDescent="0.35">
      <c r="J1278" s="1"/>
      <c r="L1278" s="1"/>
      <c r="M1278" s="1"/>
    </row>
    <row r="1279" spans="10:13" x14ac:dyDescent="0.35">
      <c r="J1279" s="1"/>
      <c r="L1279" s="1"/>
      <c r="M1279" s="1"/>
    </row>
    <row r="1280" spans="10:13" x14ac:dyDescent="0.35">
      <c r="J1280" s="1"/>
      <c r="L1280" s="1"/>
      <c r="M1280" s="1"/>
    </row>
    <row r="1281" spans="10:13" x14ac:dyDescent="0.35">
      <c r="J1281" s="1"/>
      <c r="L1281" s="1"/>
      <c r="M1281" s="1"/>
    </row>
    <row r="1282" spans="10:13" x14ac:dyDescent="0.35">
      <c r="J1282" s="1"/>
      <c r="L1282" s="1"/>
      <c r="M1282" s="1"/>
    </row>
    <row r="1283" spans="10:13" x14ac:dyDescent="0.35">
      <c r="J1283" s="1"/>
      <c r="L1283" s="1"/>
      <c r="M1283" s="1"/>
    </row>
    <row r="1284" spans="10:13" x14ac:dyDescent="0.35">
      <c r="J1284" s="1"/>
      <c r="L1284" s="1"/>
      <c r="M1284" s="1"/>
    </row>
    <row r="1285" spans="10:13" x14ac:dyDescent="0.35">
      <c r="J1285" s="1"/>
      <c r="L1285" s="1"/>
      <c r="M1285" s="1"/>
    </row>
    <row r="1286" spans="10:13" x14ac:dyDescent="0.35">
      <c r="J1286" s="1"/>
      <c r="L1286" s="1"/>
      <c r="M1286" s="1"/>
    </row>
    <row r="1287" spans="10:13" x14ac:dyDescent="0.35">
      <c r="J1287" s="1"/>
      <c r="L1287" s="1"/>
      <c r="M1287" s="1"/>
    </row>
    <row r="1288" spans="10:13" x14ac:dyDescent="0.35">
      <c r="J1288" s="1"/>
      <c r="L1288" s="1"/>
      <c r="M1288" s="1"/>
    </row>
    <row r="1289" spans="10:13" x14ac:dyDescent="0.35">
      <c r="J1289" s="1"/>
      <c r="L1289" s="1"/>
      <c r="M1289" s="1"/>
    </row>
    <row r="1290" spans="10:13" x14ac:dyDescent="0.35">
      <c r="J1290" s="1"/>
      <c r="L1290" s="1"/>
      <c r="M1290" s="1"/>
    </row>
    <row r="1291" spans="10:13" x14ac:dyDescent="0.35">
      <c r="J1291" s="1"/>
      <c r="L1291" s="1"/>
      <c r="M1291" s="1"/>
    </row>
    <row r="1292" spans="10:13" x14ac:dyDescent="0.35">
      <c r="J1292" s="1"/>
      <c r="L1292" s="1"/>
      <c r="M1292" s="1"/>
    </row>
    <row r="1293" spans="10:13" x14ac:dyDescent="0.35">
      <c r="J1293" s="1"/>
      <c r="L1293" s="1"/>
      <c r="M1293" s="1"/>
    </row>
    <row r="1294" spans="10:13" x14ac:dyDescent="0.35">
      <c r="J1294" s="1"/>
      <c r="L1294" s="1"/>
      <c r="M1294" s="1"/>
    </row>
    <row r="1295" spans="10:13" x14ac:dyDescent="0.35">
      <c r="J1295" s="1"/>
      <c r="L1295" s="1"/>
      <c r="M1295" s="1"/>
    </row>
    <row r="1296" spans="10:13" x14ac:dyDescent="0.35">
      <c r="J1296" s="1"/>
      <c r="L1296" s="1"/>
      <c r="M1296" s="1"/>
    </row>
    <row r="1297" spans="10:13" x14ac:dyDescent="0.35">
      <c r="J1297" s="1"/>
      <c r="L1297" s="1"/>
      <c r="M1297" s="1"/>
    </row>
    <row r="1298" spans="10:13" x14ac:dyDescent="0.35">
      <c r="J1298" s="1"/>
      <c r="L1298" s="1"/>
      <c r="M1298" s="1"/>
    </row>
    <row r="1299" spans="10:13" x14ac:dyDescent="0.35">
      <c r="J1299" s="1"/>
      <c r="L1299" s="1"/>
      <c r="M1299" s="1"/>
    </row>
    <row r="1300" spans="10:13" x14ac:dyDescent="0.35">
      <c r="J1300" s="1"/>
      <c r="L1300" s="1"/>
      <c r="M1300" s="1"/>
    </row>
    <row r="1301" spans="10:13" x14ac:dyDescent="0.35">
      <c r="J1301" s="1"/>
      <c r="L1301" s="1"/>
      <c r="M1301" s="1"/>
    </row>
    <row r="1302" spans="10:13" x14ac:dyDescent="0.35">
      <c r="J1302" s="1"/>
      <c r="L1302" s="1"/>
      <c r="M1302" s="1"/>
    </row>
    <row r="1303" spans="10:13" x14ac:dyDescent="0.35">
      <c r="J1303" s="1"/>
      <c r="L1303" s="1"/>
      <c r="M1303" s="1"/>
    </row>
    <row r="1304" spans="10:13" x14ac:dyDescent="0.35">
      <c r="J1304" s="1"/>
      <c r="L1304" s="1"/>
      <c r="M1304" s="1"/>
    </row>
    <row r="1305" spans="10:13" x14ac:dyDescent="0.35">
      <c r="J1305" s="1"/>
      <c r="L1305" s="1"/>
      <c r="M1305" s="1"/>
    </row>
    <row r="1306" spans="10:13" x14ac:dyDescent="0.35">
      <c r="J1306" s="1"/>
      <c r="L1306" s="1"/>
      <c r="M1306" s="1"/>
    </row>
    <row r="1307" spans="10:13" x14ac:dyDescent="0.35">
      <c r="J1307" s="1"/>
      <c r="L1307" s="1"/>
      <c r="M1307" s="1"/>
    </row>
    <row r="1308" spans="10:13" x14ac:dyDescent="0.35">
      <c r="J1308" s="1"/>
      <c r="L1308" s="1"/>
      <c r="M1308" s="1"/>
    </row>
    <row r="1309" spans="10:13" x14ac:dyDescent="0.35">
      <c r="J1309" s="1"/>
      <c r="L1309" s="1"/>
      <c r="M1309" s="1"/>
    </row>
    <row r="1310" spans="10:13" x14ac:dyDescent="0.35">
      <c r="J1310" s="1"/>
      <c r="L1310" s="1"/>
      <c r="M1310" s="1"/>
    </row>
    <row r="1311" spans="10:13" x14ac:dyDescent="0.35">
      <c r="J1311" s="1"/>
      <c r="L1311" s="1"/>
      <c r="M1311" s="1"/>
    </row>
    <row r="1312" spans="10:13" x14ac:dyDescent="0.35">
      <c r="J1312" s="1"/>
      <c r="L1312" s="1"/>
      <c r="M1312" s="1"/>
    </row>
    <row r="1313" spans="10:13" x14ac:dyDescent="0.35">
      <c r="J1313" s="1"/>
      <c r="L1313" s="1"/>
      <c r="M1313" s="1"/>
    </row>
    <row r="1314" spans="10:13" x14ac:dyDescent="0.35">
      <c r="J1314" s="1"/>
      <c r="L1314" s="1"/>
      <c r="M1314" s="1"/>
    </row>
    <row r="1315" spans="10:13" x14ac:dyDescent="0.35">
      <c r="J1315" s="1"/>
      <c r="L1315" s="1"/>
      <c r="M1315" s="1"/>
    </row>
    <row r="1316" spans="10:13" x14ac:dyDescent="0.35">
      <c r="J1316" s="1"/>
      <c r="L1316" s="1"/>
      <c r="M1316" s="1"/>
    </row>
    <row r="1317" spans="10:13" x14ac:dyDescent="0.35">
      <c r="J1317" s="1"/>
      <c r="L1317" s="1"/>
      <c r="M1317" s="1"/>
    </row>
    <row r="1318" spans="10:13" x14ac:dyDescent="0.35">
      <c r="J1318" s="1"/>
      <c r="L1318" s="1"/>
      <c r="M1318" s="1"/>
    </row>
    <row r="1319" spans="10:13" x14ac:dyDescent="0.35">
      <c r="J1319" s="1"/>
      <c r="L1319" s="1"/>
      <c r="M1319" s="1"/>
    </row>
    <row r="1320" spans="10:13" x14ac:dyDescent="0.35">
      <c r="J1320" s="1"/>
      <c r="L1320" s="1"/>
      <c r="M1320" s="1"/>
    </row>
    <row r="1321" spans="10:13" x14ac:dyDescent="0.35">
      <c r="J1321" s="1"/>
      <c r="L1321" s="1"/>
      <c r="M1321" s="1"/>
    </row>
    <row r="1322" spans="10:13" x14ac:dyDescent="0.35">
      <c r="J1322" s="1"/>
      <c r="L1322" s="1"/>
      <c r="M1322" s="1"/>
    </row>
    <row r="1323" spans="10:13" x14ac:dyDescent="0.35">
      <c r="J1323" s="1"/>
      <c r="L1323" s="1"/>
      <c r="M1323" s="1"/>
    </row>
    <row r="1324" spans="10:13" x14ac:dyDescent="0.35">
      <c r="J1324" s="1"/>
      <c r="L1324" s="1"/>
      <c r="M1324" s="1"/>
    </row>
    <row r="1325" spans="10:13" x14ac:dyDescent="0.35">
      <c r="J1325" s="1"/>
      <c r="L1325" s="1"/>
      <c r="M1325" s="1"/>
    </row>
    <row r="1326" spans="10:13" x14ac:dyDescent="0.35">
      <c r="J1326" s="1"/>
      <c r="L1326" s="1"/>
      <c r="M1326" s="1"/>
    </row>
    <row r="1327" spans="10:13" x14ac:dyDescent="0.35">
      <c r="J1327" s="1"/>
      <c r="L1327" s="1"/>
      <c r="M1327" s="1"/>
    </row>
    <row r="1328" spans="10:13" x14ac:dyDescent="0.35">
      <c r="J1328" s="1"/>
      <c r="L1328" s="1"/>
      <c r="M1328" s="1"/>
    </row>
    <row r="1329" spans="10:13" x14ac:dyDescent="0.35">
      <c r="J1329" s="1"/>
      <c r="L1329" s="1"/>
      <c r="M1329" s="1"/>
    </row>
    <row r="1330" spans="10:13" x14ac:dyDescent="0.35">
      <c r="J1330" s="1"/>
      <c r="L1330" s="1"/>
      <c r="M1330" s="1"/>
    </row>
    <row r="1331" spans="10:13" x14ac:dyDescent="0.35">
      <c r="J1331" s="1"/>
      <c r="L1331" s="1"/>
      <c r="M1331" s="1"/>
    </row>
    <row r="1332" spans="10:13" x14ac:dyDescent="0.35">
      <c r="J1332" s="1"/>
      <c r="L1332" s="1"/>
      <c r="M1332" s="1"/>
    </row>
    <row r="1333" spans="10:13" x14ac:dyDescent="0.35">
      <c r="J1333" s="1"/>
      <c r="L1333" s="1"/>
      <c r="M1333" s="1"/>
    </row>
    <row r="1334" spans="10:13" x14ac:dyDescent="0.35">
      <c r="J1334" s="1"/>
      <c r="L1334" s="1"/>
      <c r="M1334" s="1"/>
    </row>
    <row r="1335" spans="10:13" x14ac:dyDescent="0.35">
      <c r="J1335" s="1"/>
      <c r="L1335" s="1"/>
      <c r="M1335" s="1"/>
    </row>
    <row r="1336" spans="10:13" x14ac:dyDescent="0.35">
      <c r="J1336" s="1"/>
      <c r="L1336" s="1"/>
      <c r="M1336" s="1"/>
    </row>
    <row r="1337" spans="10:13" x14ac:dyDescent="0.35">
      <c r="J1337" s="1"/>
      <c r="L1337" s="1"/>
      <c r="M1337" s="1"/>
    </row>
    <row r="1338" spans="10:13" x14ac:dyDescent="0.35">
      <c r="J1338" s="1"/>
      <c r="L1338" s="1"/>
      <c r="M1338" s="1"/>
    </row>
    <row r="1339" spans="10:13" x14ac:dyDescent="0.35">
      <c r="J1339" s="1"/>
      <c r="L1339" s="1"/>
      <c r="M1339" s="1"/>
    </row>
    <row r="1340" spans="10:13" x14ac:dyDescent="0.35">
      <c r="J1340" s="1"/>
      <c r="L1340" s="1"/>
      <c r="M1340" s="1"/>
    </row>
    <row r="1341" spans="10:13" x14ac:dyDescent="0.35">
      <c r="J1341" s="1"/>
      <c r="L1341" s="1"/>
      <c r="M1341" s="1"/>
    </row>
    <row r="1342" spans="10:13" x14ac:dyDescent="0.35">
      <c r="J1342" s="1"/>
      <c r="L1342" s="1"/>
      <c r="M1342" s="1"/>
    </row>
    <row r="1343" spans="10:13" x14ac:dyDescent="0.35">
      <c r="J1343" s="1"/>
      <c r="L1343" s="1"/>
      <c r="M1343" s="1"/>
    </row>
    <row r="1344" spans="10:13" x14ac:dyDescent="0.35">
      <c r="J1344" s="1"/>
      <c r="L1344" s="1"/>
      <c r="M1344" s="1"/>
    </row>
    <row r="1345" spans="10:13" x14ac:dyDescent="0.35">
      <c r="J1345" s="1"/>
      <c r="L1345" s="1"/>
      <c r="M1345" s="1"/>
    </row>
    <row r="1346" spans="10:13" x14ac:dyDescent="0.35">
      <c r="J1346" s="1"/>
      <c r="L1346" s="1"/>
      <c r="M1346" s="1"/>
    </row>
    <row r="1347" spans="10:13" x14ac:dyDescent="0.35">
      <c r="J1347" s="1"/>
      <c r="L1347" s="1"/>
      <c r="M1347" s="1"/>
    </row>
    <row r="1348" spans="10:13" x14ac:dyDescent="0.35">
      <c r="J1348" s="1"/>
      <c r="L1348" s="1"/>
      <c r="M1348" s="1"/>
    </row>
    <row r="1349" spans="10:13" x14ac:dyDescent="0.35">
      <c r="J1349" s="1"/>
      <c r="L1349" s="1"/>
      <c r="M1349" s="1"/>
    </row>
    <row r="1350" spans="10:13" x14ac:dyDescent="0.35">
      <c r="J1350" s="1"/>
      <c r="L1350" s="1"/>
      <c r="M1350" s="1"/>
    </row>
    <row r="1351" spans="10:13" x14ac:dyDescent="0.35">
      <c r="J1351" s="1"/>
      <c r="L1351" s="1"/>
      <c r="M1351" s="1"/>
    </row>
    <row r="1352" spans="10:13" x14ac:dyDescent="0.35">
      <c r="J1352" s="1"/>
      <c r="L1352" s="1"/>
      <c r="M1352" s="1"/>
    </row>
    <row r="1353" spans="10:13" x14ac:dyDescent="0.35">
      <c r="J1353" s="1"/>
      <c r="L1353" s="1"/>
      <c r="M1353" s="1"/>
    </row>
    <row r="1354" spans="10:13" x14ac:dyDescent="0.35">
      <c r="J1354" s="1"/>
      <c r="L1354" s="1"/>
      <c r="M1354" s="1"/>
    </row>
    <row r="1355" spans="10:13" x14ac:dyDescent="0.35">
      <c r="J1355" s="1"/>
      <c r="L1355" s="1"/>
      <c r="M1355" s="1"/>
    </row>
    <row r="1356" spans="10:13" x14ac:dyDescent="0.35">
      <c r="J1356" s="1"/>
      <c r="L1356" s="1"/>
      <c r="M1356" s="1"/>
    </row>
    <row r="1357" spans="10:13" x14ac:dyDescent="0.35">
      <c r="J1357" s="1"/>
      <c r="L1357" s="1"/>
      <c r="M1357" s="1"/>
    </row>
    <row r="1358" spans="10:13" x14ac:dyDescent="0.35">
      <c r="J1358" s="1"/>
      <c r="L1358" s="1"/>
      <c r="M1358" s="1"/>
    </row>
    <row r="1359" spans="10:13" x14ac:dyDescent="0.35">
      <c r="J1359" s="1"/>
      <c r="L1359" s="1"/>
      <c r="M1359" s="1"/>
    </row>
    <row r="1360" spans="10:13" x14ac:dyDescent="0.35">
      <c r="J1360" s="1"/>
      <c r="L1360" s="1"/>
      <c r="M1360" s="1"/>
    </row>
    <row r="1361" spans="10:13" x14ac:dyDescent="0.35">
      <c r="J1361" s="1"/>
      <c r="L1361" s="1"/>
      <c r="M1361" s="1"/>
    </row>
    <row r="1362" spans="10:13" x14ac:dyDescent="0.35">
      <c r="J1362" s="1"/>
      <c r="L1362" s="1"/>
      <c r="M1362" s="1"/>
    </row>
    <row r="1363" spans="10:13" x14ac:dyDescent="0.35">
      <c r="J1363" s="1"/>
      <c r="L1363" s="1"/>
      <c r="M1363" s="1"/>
    </row>
    <row r="1364" spans="10:13" x14ac:dyDescent="0.35">
      <c r="J1364" s="1"/>
      <c r="L1364" s="1"/>
      <c r="M1364" s="1"/>
    </row>
    <row r="1365" spans="10:13" x14ac:dyDescent="0.35">
      <c r="J1365" s="1"/>
      <c r="L1365" s="1"/>
      <c r="M1365" s="1"/>
    </row>
    <row r="1366" spans="10:13" x14ac:dyDescent="0.35">
      <c r="J1366" s="1"/>
      <c r="L1366" s="1"/>
      <c r="M1366" s="1"/>
    </row>
    <row r="1367" spans="10:13" x14ac:dyDescent="0.35">
      <c r="J1367" s="1"/>
      <c r="L1367" s="1"/>
      <c r="M1367" s="1"/>
    </row>
    <row r="1368" spans="10:13" x14ac:dyDescent="0.35">
      <c r="J1368" s="1"/>
      <c r="L1368" s="1"/>
      <c r="M1368" s="1"/>
    </row>
    <row r="1369" spans="10:13" x14ac:dyDescent="0.35">
      <c r="J1369" s="1"/>
      <c r="L1369" s="1"/>
      <c r="M1369" s="1"/>
    </row>
    <row r="1370" spans="10:13" x14ac:dyDescent="0.35">
      <c r="J1370" s="1"/>
      <c r="L1370" s="1"/>
      <c r="M1370" s="1"/>
    </row>
    <row r="1371" spans="10:13" x14ac:dyDescent="0.35">
      <c r="J1371" s="1"/>
      <c r="L1371" s="1"/>
      <c r="M1371" s="1"/>
    </row>
    <row r="1372" spans="10:13" x14ac:dyDescent="0.35">
      <c r="J1372" s="1"/>
      <c r="L1372" s="1"/>
      <c r="M1372" s="1"/>
    </row>
    <row r="1373" spans="10:13" x14ac:dyDescent="0.35">
      <c r="J1373" s="1"/>
      <c r="L1373" s="1"/>
      <c r="M1373" s="1"/>
    </row>
    <row r="1374" spans="10:13" x14ac:dyDescent="0.35">
      <c r="J1374" s="1"/>
      <c r="L1374" s="1"/>
      <c r="M1374" s="1"/>
    </row>
    <row r="1375" spans="10:13" x14ac:dyDescent="0.35">
      <c r="J1375" s="1"/>
      <c r="L1375" s="1"/>
      <c r="M1375" s="1"/>
    </row>
    <row r="1376" spans="10:13" x14ac:dyDescent="0.35">
      <c r="J1376" s="1"/>
      <c r="L1376" s="1"/>
      <c r="M1376" s="1"/>
    </row>
    <row r="1377" spans="10:13" x14ac:dyDescent="0.35">
      <c r="J1377" s="1"/>
      <c r="L1377" s="1"/>
      <c r="M1377" s="1"/>
    </row>
    <row r="1378" spans="10:13" x14ac:dyDescent="0.35">
      <c r="J1378" s="1"/>
      <c r="L1378" s="1"/>
      <c r="M1378" s="1"/>
    </row>
    <row r="1379" spans="10:13" x14ac:dyDescent="0.35">
      <c r="J1379" s="1"/>
      <c r="L1379" s="1"/>
      <c r="M1379" s="1"/>
    </row>
    <row r="1380" spans="10:13" x14ac:dyDescent="0.35">
      <c r="J1380" s="1"/>
      <c r="L1380" s="1"/>
      <c r="M1380" s="1"/>
    </row>
    <row r="1381" spans="10:13" x14ac:dyDescent="0.35">
      <c r="J1381" s="1"/>
      <c r="L1381" s="1"/>
      <c r="M1381" s="1"/>
    </row>
    <row r="1382" spans="10:13" x14ac:dyDescent="0.35">
      <c r="J1382" s="1"/>
      <c r="L1382" s="1"/>
      <c r="M1382" s="1"/>
    </row>
    <row r="1383" spans="10:13" x14ac:dyDescent="0.35">
      <c r="J1383" s="1"/>
      <c r="L1383" s="1"/>
      <c r="M1383" s="1"/>
    </row>
    <row r="1384" spans="10:13" x14ac:dyDescent="0.35">
      <c r="J1384" s="1"/>
      <c r="L1384" s="1"/>
      <c r="M1384" s="1"/>
    </row>
    <row r="1385" spans="10:13" x14ac:dyDescent="0.35">
      <c r="J1385" s="1"/>
      <c r="L1385" s="1"/>
      <c r="M1385" s="1"/>
    </row>
    <row r="1386" spans="10:13" x14ac:dyDescent="0.35">
      <c r="J1386" s="1"/>
      <c r="L1386" s="1"/>
      <c r="M1386" s="1"/>
    </row>
    <row r="1387" spans="10:13" x14ac:dyDescent="0.35">
      <c r="J1387" s="1"/>
      <c r="L1387" s="1"/>
      <c r="M1387" s="1"/>
    </row>
    <row r="1388" spans="10:13" x14ac:dyDescent="0.35">
      <c r="J1388" s="1"/>
      <c r="L1388" s="1"/>
      <c r="M1388" s="1"/>
    </row>
    <row r="1389" spans="10:13" x14ac:dyDescent="0.35">
      <c r="J1389" s="1"/>
      <c r="L1389" s="1"/>
      <c r="M1389" s="1"/>
    </row>
    <row r="1390" spans="10:13" x14ac:dyDescent="0.35">
      <c r="J1390" s="1"/>
      <c r="L1390" s="1"/>
      <c r="M1390" s="1"/>
    </row>
    <row r="1391" spans="10:13" x14ac:dyDescent="0.35">
      <c r="J1391" s="1"/>
      <c r="L1391" s="1"/>
      <c r="M1391" s="1"/>
    </row>
    <row r="1392" spans="10:13" x14ac:dyDescent="0.35">
      <c r="J1392" s="1"/>
      <c r="L1392" s="1"/>
      <c r="M1392" s="1"/>
    </row>
    <row r="1393" spans="10:13" x14ac:dyDescent="0.35">
      <c r="J1393" s="1"/>
      <c r="L1393" s="1"/>
      <c r="M1393" s="1"/>
    </row>
    <row r="1394" spans="10:13" x14ac:dyDescent="0.35">
      <c r="J1394" s="1"/>
      <c r="L1394" s="1"/>
      <c r="M1394" s="1"/>
    </row>
    <row r="1395" spans="10:13" x14ac:dyDescent="0.35">
      <c r="J1395" s="1"/>
      <c r="L1395" s="1"/>
      <c r="M1395" s="1"/>
    </row>
    <row r="1396" spans="10:13" x14ac:dyDescent="0.35">
      <c r="J1396" s="1"/>
      <c r="L1396" s="1"/>
      <c r="M1396" s="1"/>
    </row>
    <row r="1397" spans="10:13" x14ac:dyDescent="0.35">
      <c r="J1397" s="1"/>
      <c r="L1397" s="1"/>
      <c r="M1397" s="1"/>
    </row>
    <row r="1398" spans="10:13" x14ac:dyDescent="0.35">
      <c r="J1398" s="1"/>
      <c r="L1398" s="1"/>
      <c r="M1398" s="1"/>
    </row>
    <row r="1399" spans="10:13" x14ac:dyDescent="0.35">
      <c r="J1399" s="1"/>
      <c r="L1399" s="1"/>
      <c r="M1399" s="1"/>
    </row>
    <row r="1400" spans="10:13" x14ac:dyDescent="0.35">
      <c r="J1400" s="1"/>
      <c r="L1400" s="1"/>
      <c r="M1400" s="1"/>
    </row>
    <row r="1401" spans="10:13" x14ac:dyDescent="0.35">
      <c r="J1401" s="1"/>
      <c r="L1401" s="1"/>
      <c r="M1401" s="1"/>
    </row>
    <row r="1402" spans="10:13" x14ac:dyDescent="0.35">
      <c r="J1402" s="1"/>
      <c r="L1402" s="1"/>
      <c r="M1402" s="1"/>
    </row>
    <row r="1403" spans="10:13" x14ac:dyDescent="0.35">
      <c r="J1403" s="1"/>
      <c r="L1403" s="1"/>
      <c r="M1403" s="1"/>
    </row>
    <row r="1404" spans="10:13" x14ac:dyDescent="0.35">
      <c r="J1404" s="1"/>
      <c r="L1404" s="1"/>
      <c r="M1404" s="1"/>
    </row>
    <row r="1405" spans="10:13" x14ac:dyDescent="0.35">
      <c r="J1405" s="1"/>
      <c r="L1405" s="1"/>
      <c r="M1405" s="1"/>
    </row>
    <row r="1406" spans="10:13" x14ac:dyDescent="0.35">
      <c r="J1406" s="1"/>
      <c r="L1406" s="1"/>
      <c r="M1406" s="1"/>
    </row>
    <row r="1407" spans="10:13" x14ac:dyDescent="0.35">
      <c r="J1407" s="1"/>
      <c r="L1407" s="1"/>
      <c r="M1407" s="1"/>
    </row>
    <row r="1408" spans="10:13" x14ac:dyDescent="0.35">
      <c r="J1408" s="1"/>
      <c r="L1408" s="1"/>
      <c r="M1408" s="1"/>
    </row>
    <row r="1409" spans="10:13" x14ac:dyDescent="0.35">
      <c r="J1409" s="1"/>
      <c r="L1409" s="1"/>
      <c r="M1409" s="1"/>
    </row>
    <row r="1410" spans="10:13" x14ac:dyDescent="0.35">
      <c r="J1410" s="1"/>
      <c r="L1410" s="1"/>
      <c r="M1410" s="1"/>
    </row>
    <row r="1411" spans="10:13" x14ac:dyDescent="0.35">
      <c r="J1411" s="1"/>
      <c r="L1411" s="1"/>
      <c r="M1411" s="1"/>
    </row>
    <row r="1412" spans="10:13" x14ac:dyDescent="0.35">
      <c r="J1412" s="1"/>
      <c r="L1412" s="1"/>
      <c r="M1412" s="1"/>
    </row>
    <row r="1413" spans="10:13" x14ac:dyDescent="0.35">
      <c r="J1413" s="1"/>
      <c r="L1413" s="1"/>
      <c r="M1413" s="1"/>
    </row>
    <row r="1414" spans="10:13" x14ac:dyDescent="0.35">
      <c r="J1414" s="1"/>
      <c r="L1414" s="1"/>
      <c r="M1414" s="1"/>
    </row>
    <row r="1415" spans="10:13" x14ac:dyDescent="0.35">
      <c r="J1415" s="1"/>
      <c r="L1415" s="1"/>
      <c r="M1415" s="1"/>
    </row>
    <row r="1416" spans="10:13" x14ac:dyDescent="0.35">
      <c r="J1416" s="1"/>
      <c r="L1416" s="1"/>
      <c r="M1416" s="1"/>
    </row>
    <row r="1417" spans="10:13" x14ac:dyDescent="0.35">
      <c r="J1417" s="1"/>
      <c r="L1417" s="1"/>
      <c r="M1417" s="1"/>
    </row>
    <row r="1418" spans="10:13" x14ac:dyDescent="0.35">
      <c r="J1418" s="1"/>
      <c r="L1418" s="1"/>
      <c r="M1418" s="1"/>
    </row>
    <row r="1419" spans="10:13" x14ac:dyDescent="0.35">
      <c r="J1419" s="1"/>
      <c r="L1419" s="1"/>
      <c r="M1419" s="1"/>
    </row>
    <row r="1420" spans="10:13" x14ac:dyDescent="0.35">
      <c r="J1420" s="1"/>
      <c r="L1420" s="1"/>
      <c r="M1420" s="1"/>
    </row>
    <row r="1421" spans="10:13" x14ac:dyDescent="0.35">
      <c r="J1421" s="1"/>
      <c r="L1421" s="1"/>
      <c r="M1421" s="1"/>
    </row>
    <row r="1422" spans="10:13" x14ac:dyDescent="0.35">
      <c r="J1422" s="1"/>
      <c r="L1422" s="1"/>
      <c r="M1422" s="1"/>
    </row>
    <row r="1423" spans="10:13" x14ac:dyDescent="0.35">
      <c r="J1423" s="1"/>
      <c r="L1423" s="1"/>
      <c r="M1423" s="1"/>
    </row>
    <row r="1424" spans="10:13" x14ac:dyDescent="0.35">
      <c r="J1424" s="1"/>
      <c r="L1424" s="1"/>
      <c r="M1424" s="1"/>
    </row>
    <row r="1425" spans="10:13" x14ac:dyDescent="0.35">
      <c r="J1425" s="1"/>
      <c r="L1425" s="1"/>
      <c r="M1425" s="1"/>
    </row>
    <row r="1426" spans="10:13" x14ac:dyDescent="0.35">
      <c r="J1426" s="1"/>
      <c r="L1426" s="1"/>
      <c r="M1426" s="1"/>
    </row>
    <row r="1427" spans="10:13" x14ac:dyDescent="0.35">
      <c r="J1427" s="1"/>
      <c r="L1427" s="1"/>
      <c r="M1427" s="1"/>
    </row>
    <row r="1428" spans="10:13" x14ac:dyDescent="0.35">
      <c r="J1428" s="1"/>
      <c r="L1428" s="1"/>
      <c r="M1428" s="1"/>
    </row>
    <row r="1429" spans="10:13" x14ac:dyDescent="0.35">
      <c r="J1429" s="1"/>
      <c r="L1429" s="1"/>
      <c r="M1429" s="1"/>
    </row>
    <row r="1430" spans="10:13" x14ac:dyDescent="0.35">
      <c r="J1430" s="1"/>
      <c r="L1430" s="1"/>
      <c r="M1430" s="1"/>
    </row>
    <row r="1431" spans="10:13" x14ac:dyDescent="0.35">
      <c r="J1431" s="1"/>
      <c r="L1431" s="1"/>
      <c r="M1431" s="1"/>
    </row>
    <row r="1432" spans="10:13" x14ac:dyDescent="0.35">
      <c r="J1432" s="1"/>
      <c r="L1432" s="1"/>
      <c r="M1432" s="1"/>
    </row>
    <row r="1433" spans="10:13" x14ac:dyDescent="0.35">
      <c r="J1433" s="1"/>
      <c r="L1433" s="1"/>
      <c r="M1433" s="1"/>
    </row>
    <row r="1434" spans="10:13" x14ac:dyDescent="0.35">
      <c r="J1434" s="1"/>
      <c r="L1434" s="1"/>
      <c r="M1434" s="1"/>
    </row>
    <row r="1435" spans="10:13" x14ac:dyDescent="0.35">
      <c r="J1435" s="1"/>
      <c r="L1435" s="1"/>
      <c r="M1435" s="1"/>
    </row>
    <row r="1436" spans="10:13" x14ac:dyDescent="0.35">
      <c r="J1436" s="1"/>
      <c r="L1436" s="1"/>
      <c r="M1436" s="1"/>
    </row>
    <row r="1437" spans="10:13" x14ac:dyDescent="0.35">
      <c r="J1437" s="1"/>
      <c r="L1437" s="1"/>
      <c r="M1437" s="1"/>
    </row>
    <row r="1438" spans="10:13" x14ac:dyDescent="0.35">
      <c r="J1438" s="1"/>
      <c r="L1438" s="1"/>
      <c r="M1438" s="1"/>
    </row>
    <row r="1439" spans="10:13" x14ac:dyDescent="0.35">
      <c r="J1439" s="1"/>
      <c r="L1439" s="1"/>
      <c r="M1439" s="1"/>
    </row>
    <row r="1440" spans="10:13" x14ac:dyDescent="0.35">
      <c r="J1440" s="1"/>
      <c r="L1440" s="1"/>
      <c r="M1440" s="1"/>
    </row>
    <row r="1441" spans="10:13" x14ac:dyDescent="0.35">
      <c r="J1441" s="1"/>
      <c r="L1441" s="1"/>
      <c r="M1441" s="1"/>
    </row>
    <row r="1442" spans="10:13" x14ac:dyDescent="0.35">
      <c r="J1442" s="1"/>
      <c r="L1442" s="1"/>
      <c r="M1442" s="1"/>
    </row>
    <row r="1443" spans="10:13" x14ac:dyDescent="0.35">
      <c r="J1443" s="1"/>
      <c r="L1443" s="1"/>
      <c r="M1443" s="1"/>
    </row>
    <row r="1444" spans="10:13" x14ac:dyDescent="0.35">
      <c r="J1444" s="1"/>
      <c r="L1444" s="1"/>
      <c r="M1444" s="1"/>
    </row>
    <row r="1445" spans="10:13" x14ac:dyDescent="0.35">
      <c r="J1445" s="1"/>
      <c r="L1445" s="1"/>
      <c r="M1445" s="1"/>
    </row>
    <row r="1446" spans="10:13" x14ac:dyDescent="0.35">
      <c r="J1446" s="1"/>
      <c r="L1446" s="1"/>
      <c r="M1446" s="1"/>
    </row>
    <row r="1447" spans="10:13" x14ac:dyDescent="0.35">
      <c r="J1447" s="1"/>
      <c r="L1447" s="1"/>
      <c r="M1447" s="1"/>
    </row>
    <row r="1448" spans="10:13" x14ac:dyDescent="0.35">
      <c r="J1448" s="1"/>
      <c r="L1448" s="1"/>
      <c r="M1448" s="1"/>
    </row>
    <row r="1449" spans="10:13" x14ac:dyDescent="0.35">
      <c r="J1449" s="1"/>
      <c r="L1449" s="1"/>
      <c r="M1449" s="1"/>
    </row>
    <row r="1450" spans="10:13" x14ac:dyDescent="0.35">
      <c r="J1450" s="1"/>
      <c r="L1450" s="1"/>
      <c r="M1450" s="1"/>
    </row>
    <row r="1451" spans="10:13" x14ac:dyDescent="0.35">
      <c r="J1451" s="1"/>
      <c r="L1451" s="1"/>
      <c r="M1451" s="1"/>
    </row>
    <row r="1452" spans="10:13" x14ac:dyDescent="0.35">
      <c r="J1452" s="1"/>
      <c r="L1452" s="1"/>
      <c r="M1452" s="1"/>
    </row>
    <row r="1453" spans="10:13" x14ac:dyDescent="0.35">
      <c r="J1453" s="1"/>
      <c r="L1453" s="1"/>
      <c r="M1453" s="1"/>
    </row>
    <row r="1454" spans="10:13" x14ac:dyDescent="0.35">
      <c r="J1454" s="1"/>
      <c r="L1454" s="1"/>
      <c r="M1454" s="1"/>
    </row>
    <row r="1455" spans="10:13" x14ac:dyDescent="0.35">
      <c r="J1455" s="1"/>
      <c r="L1455" s="1"/>
      <c r="M1455" s="1"/>
    </row>
    <row r="1456" spans="10:13" x14ac:dyDescent="0.35">
      <c r="J1456" s="1"/>
      <c r="L1456" s="1"/>
      <c r="M1456" s="1"/>
    </row>
    <row r="1457" spans="10:13" x14ac:dyDescent="0.35">
      <c r="J1457" s="1"/>
      <c r="L1457" s="1"/>
      <c r="M1457" s="1"/>
    </row>
    <row r="1458" spans="10:13" x14ac:dyDescent="0.35">
      <c r="J1458" s="1"/>
      <c r="L1458" s="1"/>
      <c r="M1458" s="1"/>
    </row>
    <row r="1459" spans="10:13" x14ac:dyDescent="0.35">
      <c r="J1459" s="1"/>
      <c r="L1459" s="1"/>
      <c r="M1459" s="1"/>
    </row>
    <row r="1460" spans="10:13" x14ac:dyDescent="0.35">
      <c r="J1460" s="1"/>
      <c r="L1460" s="1"/>
      <c r="M1460" s="1"/>
    </row>
    <row r="1461" spans="10:13" x14ac:dyDescent="0.35">
      <c r="J1461" s="1"/>
      <c r="L1461" s="1"/>
      <c r="M1461" s="1"/>
    </row>
    <row r="1462" spans="10:13" x14ac:dyDescent="0.35">
      <c r="J1462" s="1"/>
      <c r="L1462" s="1"/>
      <c r="M1462" s="1"/>
    </row>
    <row r="1463" spans="10:13" x14ac:dyDescent="0.35">
      <c r="J1463" s="1"/>
      <c r="L1463" s="1"/>
      <c r="M1463" s="1"/>
    </row>
    <row r="1464" spans="10:13" x14ac:dyDescent="0.35">
      <c r="J1464" s="1"/>
      <c r="L1464" s="1"/>
      <c r="M1464" s="1"/>
    </row>
    <row r="1465" spans="10:13" x14ac:dyDescent="0.35">
      <c r="J1465" s="1"/>
      <c r="L1465" s="1"/>
      <c r="M1465" s="1"/>
    </row>
    <row r="1466" spans="10:13" x14ac:dyDescent="0.35">
      <c r="J1466" s="1"/>
      <c r="L1466" s="1"/>
      <c r="M1466" s="1"/>
    </row>
    <row r="1467" spans="10:13" x14ac:dyDescent="0.35">
      <c r="J1467" s="1"/>
      <c r="L1467" s="1"/>
      <c r="M1467" s="1"/>
    </row>
    <row r="1468" spans="10:13" x14ac:dyDescent="0.35">
      <c r="J1468" s="1"/>
      <c r="L1468" s="1"/>
      <c r="M1468" s="1"/>
    </row>
    <row r="1469" spans="10:13" x14ac:dyDescent="0.35">
      <c r="J1469" s="1"/>
      <c r="L1469" s="1"/>
      <c r="M1469" s="1"/>
    </row>
    <row r="1470" spans="10:13" x14ac:dyDescent="0.35">
      <c r="J1470" s="1"/>
      <c r="L1470" s="1"/>
      <c r="M1470" s="1"/>
    </row>
    <row r="1471" spans="10:13" x14ac:dyDescent="0.35">
      <c r="J1471" s="1"/>
      <c r="L1471" s="1"/>
      <c r="M1471" s="1"/>
    </row>
    <row r="1472" spans="10:13" x14ac:dyDescent="0.35">
      <c r="J1472" s="1"/>
      <c r="L1472" s="1"/>
      <c r="M1472" s="1"/>
    </row>
    <row r="1473" spans="10:13" x14ac:dyDescent="0.35">
      <c r="J1473" s="1"/>
      <c r="L1473" s="1"/>
      <c r="M1473" s="1"/>
    </row>
    <row r="1474" spans="10:13" x14ac:dyDescent="0.35">
      <c r="J1474" s="1"/>
      <c r="L1474" s="1"/>
      <c r="M1474" s="1"/>
    </row>
    <row r="1475" spans="10:13" x14ac:dyDescent="0.35">
      <c r="J1475" s="1"/>
      <c r="L1475" s="1"/>
      <c r="M1475" s="1"/>
    </row>
    <row r="1476" spans="10:13" x14ac:dyDescent="0.35">
      <c r="J1476" s="1"/>
      <c r="L1476" s="1"/>
      <c r="M1476" s="1"/>
    </row>
    <row r="1477" spans="10:13" x14ac:dyDescent="0.35">
      <c r="J1477" s="1"/>
      <c r="L1477" s="1"/>
      <c r="M1477" s="1"/>
    </row>
    <row r="1478" spans="10:13" x14ac:dyDescent="0.35">
      <c r="J1478" s="1"/>
      <c r="L1478" s="1"/>
      <c r="M1478" s="1"/>
    </row>
    <row r="1479" spans="10:13" x14ac:dyDescent="0.35">
      <c r="J1479" s="1"/>
      <c r="L1479" s="1"/>
      <c r="M1479" s="1"/>
    </row>
    <row r="1480" spans="10:13" x14ac:dyDescent="0.35">
      <c r="J1480" s="1"/>
      <c r="L1480" s="1"/>
      <c r="M1480" s="1"/>
    </row>
    <row r="1481" spans="10:13" x14ac:dyDescent="0.35">
      <c r="J1481" s="1"/>
      <c r="L1481" s="1"/>
      <c r="M1481" s="1"/>
    </row>
    <row r="1482" spans="10:13" x14ac:dyDescent="0.35">
      <c r="J1482" s="1"/>
      <c r="L1482" s="1"/>
      <c r="M1482" s="1"/>
    </row>
    <row r="1483" spans="10:13" x14ac:dyDescent="0.35">
      <c r="J1483" s="1"/>
      <c r="L1483" s="1"/>
      <c r="M1483" s="1"/>
    </row>
    <row r="1484" spans="10:13" x14ac:dyDescent="0.35">
      <c r="J1484" s="1"/>
      <c r="L1484" s="1"/>
      <c r="M1484" s="1"/>
    </row>
    <row r="1485" spans="10:13" x14ac:dyDescent="0.35">
      <c r="J1485" s="1"/>
      <c r="L1485" s="1"/>
      <c r="M1485" s="1"/>
    </row>
    <row r="1486" spans="10:13" x14ac:dyDescent="0.35">
      <c r="J1486" s="1"/>
      <c r="L1486" s="1"/>
      <c r="M1486" s="1"/>
    </row>
    <row r="1487" spans="10:13" x14ac:dyDescent="0.35">
      <c r="J1487" s="1"/>
      <c r="L1487" s="1"/>
      <c r="M1487" s="1"/>
    </row>
    <row r="1488" spans="10:13" x14ac:dyDescent="0.35">
      <c r="J1488" s="1"/>
      <c r="L1488" s="1"/>
      <c r="M1488" s="1"/>
    </row>
    <row r="1489" spans="10:13" x14ac:dyDescent="0.35">
      <c r="J1489" s="1"/>
      <c r="L1489" s="1"/>
      <c r="M1489" s="1"/>
    </row>
    <row r="1490" spans="10:13" x14ac:dyDescent="0.35">
      <c r="J1490" s="1"/>
      <c r="L1490" s="1"/>
      <c r="M1490" s="1"/>
    </row>
    <row r="1491" spans="10:13" x14ac:dyDescent="0.35">
      <c r="J1491" s="1"/>
      <c r="L1491" s="1"/>
      <c r="M1491" s="1"/>
    </row>
    <row r="1492" spans="10:13" x14ac:dyDescent="0.35">
      <c r="J1492" s="1"/>
      <c r="L1492" s="1"/>
      <c r="M1492" s="1"/>
    </row>
    <row r="1493" spans="10:13" x14ac:dyDescent="0.35">
      <c r="J1493" s="1"/>
      <c r="L1493" s="1"/>
      <c r="M1493" s="1"/>
    </row>
    <row r="1494" spans="10:13" x14ac:dyDescent="0.35">
      <c r="J1494" s="1"/>
      <c r="L1494" s="1"/>
      <c r="M1494" s="1"/>
    </row>
    <row r="1495" spans="10:13" x14ac:dyDescent="0.35">
      <c r="J1495" s="1"/>
      <c r="L1495" s="1"/>
      <c r="M1495" s="1"/>
    </row>
    <row r="1496" spans="10:13" x14ac:dyDescent="0.35">
      <c r="J1496" s="1"/>
      <c r="L1496" s="1"/>
      <c r="M1496" s="1"/>
    </row>
    <row r="1497" spans="10:13" x14ac:dyDescent="0.35">
      <c r="J1497" s="1"/>
      <c r="L1497" s="1"/>
      <c r="M1497" s="1"/>
    </row>
    <row r="1498" spans="10:13" x14ac:dyDescent="0.35">
      <c r="J1498" s="1"/>
      <c r="L1498" s="1"/>
      <c r="M1498" s="1"/>
    </row>
    <row r="1499" spans="10:13" x14ac:dyDescent="0.35">
      <c r="J1499" s="1"/>
      <c r="L1499" s="1"/>
      <c r="M1499" s="1"/>
    </row>
    <row r="1500" spans="10:13" x14ac:dyDescent="0.35">
      <c r="J1500" s="1"/>
      <c r="L1500" s="1"/>
      <c r="M1500" s="1"/>
    </row>
    <row r="1501" spans="10:13" x14ac:dyDescent="0.35">
      <c r="J1501" s="1"/>
      <c r="L1501" s="1"/>
      <c r="M1501" s="1"/>
    </row>
    <row r="1502" spans="10:13" x14ac:dyDescent="0.35">
      <c r="J1502" s="1"/>
      <c r="L1502" s="1"/>
      <c r="M1502" s="1"/>
    </row>
    <row r="1503" spans="10:13" x14ac:dyDescent="0.35">
      <c r="J1503" s="1"/>
      <c r="L1503" s="1"/>
      <c r="M1503" s="1"/>
    </row>
    <row r="1504" spans="10:13" x14ac:dyDescent="0.35">
      <c r="J1504" s="1"/>
      <c r="L1504" s="1"/>
      <c r="M1504" s="1"/>
    </row>
    <row r="1505" spans="10:13" x14ac:dyDescent="0.35">
      <c r="J1505" s="1"/>
      <c r="L1505" s="1"/>
      <c r="M1505" s="1"/>
    </row>
    <row r="1506" spans="10:13" x14ac:dyDescent="0.35">
      <c r="J1506" s="1"/>
      <c r="L1506" s="1"/>
      <c r="M1506" s="1"/>
    </row>
    <row r="1507" spans="10:13" x14ac:dyDescent="0.35">
      <c r="J1507" s="1"/>
      <c r="L1507" s="1"/>
      <c r="M1507" s="1"/>
    </row>
    <row r="1508" spans="10:13" x14ac:dyDescent="0.35">
      <c r="J1508" s="1"/>
      <c r="L1508" s="1"/>
      <c r="M1508" s="1"/>
    </row>
    <row r="1509" spans="10:13" x14ac:dyDescent="0.35">
      <c r="J1509" s="1"/>
      <c r="L1509" s="1"/>
      <c r="M1509" s="1"/>
    </row>
    <row r="1510" spans="10:13" x14ac:dyDescent="0.35">
      <c r="J1510" s="1"/>
      <c r="L1510" s="1"/>
      <c r="M1510" s="1"/>
    </row>
    <row r="1511" spans="10:13" x14ac:dyDescent="0.35">
      <c r="J1511" s="1"/>
      <c r="L1511" s="1"/>
      <c r="M1511" s="1"/>
    </row>
    <row r="1512" spans="10:13" x14ac:dyDescent="0.35">
      <c r="J1512" s="1"/>
      <c r="L1512" s="1"/>
      <c r="M1512" s="1"/>
    </row>
    <row r="1513" spans="10:13" x14ac:dyDescent="0.35">
      <c r="J1513" s="1"/>
      <c r="L1513" s="1"/>
      <c r="M1513" s="1"/>
    </row>
    <row r="1514" spans="10:13" x14ac:dyDescent="0.35">
      <c r="J1514" s="1"/>
      <c r="L1514" s="1"/>
      <c r="M1514" s="1"/>
    </row>
    <row r="1515" spans="10:13" x14ac:dyDescent="0.35">
      <c r="J1515" s="1"/>
      <c r="L1515" s="1"/>
      <c r="M1515" s="1"/>
    </row>
    <row r="1516" spans="10:13" x14ac:dyDescent="0.35">
      <c r="J1516" s="1"/>
      <c r="L1516" s="1"/>
      <c r="M1516" s="1"/>
    </row>
    <row r="1517" spans="10:13" x14ac:dyDescent="0.35">
      <c r="J1517" s="1"/>
      <c r="L1517" s="1"/>
      <c r="M1517" s="1"/>
    </row>
    <row r="1518" spans="10:13" x14ac:dyDescent="0.35">
      <c r="J1518" s="1"/>
      <c r="L1518" s="1"/>
      <c r="M1518" s="1"/>
    </row>
    <row r="1519" spans="10:13" x14ac:dyDescent="0.35">
      <c r="J1519" s="1"/>
      <c r="L1519" s="1"/>
      <c r="M1519" s="1"/>
    </row>
    <row r="1520" spans="10:13" x14ac:dyDescent="0.35">
      <c r="J1520" s="1"/>
      <c r="L1520" s="1"/>
      <c r="M1520" s="1"/>
    </row>
    <row r="1521" spans="10:13" x14ac:dyDescent="0.35">
      <c r="J1521" s="1"/>
      <c r="L1521" s="1"/>
      <c r="M1521" s="1"/>
    </row>
    <row r="1522" spans="10:13" x14ac:dyDescent="0.35">
      <c r="J1522" s="1"/>
      <c r="L1522" s="1"/>
      <c r="M1522" s="1"/>
    </row>
    <row r="1523" spans="10:13" x14ac:dyDescent="0.35">
      <c r="J1523" s="1"/>
      <c r="L1523" s="1"/>
      <c r="M1523" s="1"/>
    </row>
    <row r="1524" spans="10:13" x14ac:dyDescent="0.35">
      <c r="J1524" s="1"/>
      <c r="L1524" s="1"/>
      <c r="M1524" s="1"/>
    </row>
    <row r="1525" spans="10:13" x14ac:dyDescent="0.35">
      <c r="J1525" s="1"/>
      <c r="L1525" s="1"/>
      <c r="M1525" s="1"/>
    </row>
    <row r="1526" spans="10:13" x14ac:dyDescent="0.35">
      <c r="J1526" s="1"/>
      <c r="L1526" s="1"/>
      <c r="M1526" s="1"/>
    </row>
    <row r="1527" spans="10:13" x14ac:dyDescent="0.35">
      <c r="J1527" s="1"/>
      <c r="L1527" s="1"/>
      <c r="M1527" s="1"/>
    </row>
    <row r="1528" spans="10:13" x14ac:dyDescent="0.35">
      <c r="J1528" s="1"/>
      <c r="L1528" s="1"/>
      <c r="M1528" s="1"/>
    </row>
    <row r="1529" spans="10:13" x14ac:dyDescent="0.35">
      <c r="J1529" s="1"/>
      <c r="L1529" s="1"/>
      <c r="M1529" s="1"/>
    </row>
    <row r="1530" spans="10:13" x14ac:dyDescent="0.35">
      <c r="J1530" s="1"/>
      <c r="L1530" s="1"/>
      <c r="M1530" s="1"/>
    </row>
    <row r="1531" spans="10:13" x14ac:dyDescent="0.35">
      <c r="J1531" s="1"/>
      <c r="L1531" s="1"/>
      <c r="M1531" s="1"/>
    </row>
    <row r="1532" spans="10:13" x14ac:dyDescent="0.35">
      <c r="J1532" s="1"/>
      <c r="L1532" s="1"/>
      <c r="M1532" s="1"/>
    </row>
    <row r="1533" spans="10:13" x14ac:dyDescent="0.35">
      <c r="J1533" s="1"/>
      <c r="L1533" s="1"/>
      <c r="M1533" s="1"/>
    </row>
    <row r="1534" spans="10:13" x14ac:dyDescent="0.35">
      <c r="J1534" s="1"/>
      <c r="L1534" s="1"/>
      <c r="M1534" s="1"/>
    </row>
    <row r="1535" spans="10:13" x14ac:dyDescent="0.35">
      <c r="J1535" s="1"/>
      <c r="L1535" s="1"/>
      <c r="M1535" s="1"/>
    </row>
    <row r="1536" spans="10:13" x14ac:dyDescent="0.35">
      <c r="J1536" s="1"/>
      <c r="L1536" s="1"/>
      <c r="M1536" s="1"/>
    </row>
    <row r="1537" spans="10:13" x14ac:dyDescent="0.35">
      <c r="J1537" s="1"/>
      <c r="L1537" s="1"/>
      <c r="M1537" s="1"/>
    </row>
    <row r="1538" spans="10:13" x14ac:dyDescent="0.35">
      <c r="J1538" s="1"/>
      <c r="L1538" s="1"/>
      <c r="M1538" s="1"/>
    </row>
    <row r="1539" spans="10:13" x14ac:dyDescent="0.35">
      <c r="J1539" s="1"/>
      <c r="L1539" s="1"/>
      <c r="M1539" s="1"/>
    </row>
    <row r="1540" spans="10:13" x14ac:dyDescent="0.35">
      <c r="J1540" s="1"/>
      <c r="L1540" s="1"/>
      <c r="M1540" s="1"/>
    </row>
    <row r="1541" spans="10:13" x14ac:dyDescent="0.35">
      <c r="J1541" s="1"/>
      <c r="L1541" s="1"/>
      <c r="M1541" s="1"/>
    </row>
    <row r="1542" spans="10:13" x14ac:dyDescent="0.35">
      <c r="J1542" s="1"/>
      <c r="L1542" s="1"/>
      <c r="M1542" s="1"/>
    </row>
    <row r="1543" spans="10:13" x14ac:dyDescent="0.35">
      <c r="J1543" s="1"/>
      <c r="L1543" s="1"/>
      <c r="M1543" s="1"/>
    </row>
    <row r="1544" spans="10:13" x14ac:dyDescent="0.35">
      <c r="J1544" s="1"/>
      <c r="L1544" s="1"/>
      <c r="M1544" s="1"/>
    </row>
    <row r="1545" spans="10:13" x14ac:dyDescent="0.35">
      <c r="J1545" s="1"/>
      <c r="L1545" s="1"/>
      <c r="M1545" s="1"/>
    </row>
    <row r="1546" spans="10:13" x14ac:dyDescent="0.35">
      <c r="J1546" s="1"/>
      <c r="L1546" s="1"/>
      <c r="M1546" s="1"/>
    </row>
    <row r="1547" spans="10:13" x14ac:dyDescent="0.35">
      <c r="J1547" s="1"/>
      <c r="L1547" s="1"/>
      <c r="M1547" s="1"/>
    </row>
    <row r="1548" spans="10:13" x14ac:dyDescent="0.35">
      <c r="J1548" s="1"/>
      <c r="L1548" s="1"/>
      <c r="M1548" s="1"/>
    </row>
    <row r="1549" spans="10:13" x14ac:dyDescent="0.35">
      <c r="J1549" s="1"/>
      <c r="L1549" s="1"/>
      <c r="M1549" s="1"/>
    </row>
    <row r="1550" spans="10:13" x14ac:dyDescent="0.35">
      <c r="J1550" s="1"/>
      <c r="L1550" s="1"/>
      <c r="M1550" s="1"/>
    </row>
    <row r="1551" spans="10:13" x14ac:dyDescent="0.35">
      <c r="J1551" s="1"/>
      <c r="L1551" s="1"/>
      <c r="M1551" s="1"/>
    </row>
    <row r="1552" spans="10:13" x14ac:dyDescent="0.35">
      <c r="J1552" s="1"/>
      <c r="L1552" s="1"/>
      <c r="M1552" s="1"/>
    </row>
    <row r="1553" spans="10:13" x14ac:dyDescent="0.35">
      <c r="J1553" s="1"/>
      <c r="L1553" s="1"/>
      <c r="M1553" s="1"/>
    </row>
    <row r="1554" spans="10:13" x14ac:dyDescent="0.35">
      <c r="J1554" s="1"/>
      <c r="L1554" s="1"/>
      <c r="M1554" s="1"/>
    </row>
    <row r="1555" spans="10:13" x14ac:dyDescent="0.35">
      <c r="J1555" s="1"/>
      <c r="L1555" s="1"/>
      <c r="M1555" s="1"/>
    </row>
    <row r="1556" spans="10:13" x14ac:dyDescent="0.35">
      <c r="J1556" s="1"/>
      <c r="L1556" s="1"/>
      <c r="M1556" s="1"/>
    </row>
    <row r="1557" spans="10:13" x14ac:dyDescent="0.35">
      <c r="J1557" s="1"/>
      <c r="L1557" s="1"/>
      <c r="M1557" s="1"/>
    </row>
    <row r="1558" spans="10:13" x14ac:dyDescent="0.35">
      <c r="J1558" s="1"/>
      <c r="L1558" s="1"/>
      <c r="M1558" s="1"/>
    </row>
    <row r="1559" spans="10:13" x14ac:dyDescent="0.35">
      <c r="J1559" s="1"/>
      <c r="L1559" s="1"/>
      <c r="M1559" s="1"/>
    </row>
    <row r="1560" spans="10:13" x14ac:dyDescent="0.35">
      <c r="J1560" s="1"/>
      <c r="L1560" s="1"/>
      <c r="M1560" s="1"/>
    </row>
    <row r="1561" spans="10:13" x14ac:dyDescent="0.35">
      <c r="J1561" s="1"/>
      <c r="L1561" s="1"/>
      <c r="M1561" s="1"/>
    </row>
    <row r="1562" spans="10:13" x14ac:dyDescent="0.35">
      <c r="J1562" s="1"/>
      <c r="L1562" s="1"/>
      <c r="M1562" s="1"/>
    </row>
    <row r="1563" spans="10:13" x14ac:dyDescent="0.35">
      <c r="J1563" s="1"/>
      <c r="L1563" s="1"/>
      <c r="M1563" s="1"/>
    </row>
    <row r="1564" spans="10:13" x14ac:dyDescent="0.35">
      <c r="J1564" s="1"/>
      <c r="L1564" s="1"/>
      <c r="M1564" s="1"/>
    </row>
    <row r="1565" spans="10:13" x14ac:dyDescent="0.35">
      <c r="J1565" s="1"/>
      <c r="L1565" s="1"/>
      <c r="M1565" s="1"/>
    </row>
    <row r="1566" spans="10:13" x14ac:dyDescent="0.35">
      <c r="J1566" s="1"/>
      <c r="L1566" s="1"/>
      <c r="M1566" s="1"/>
    </row>
    <row r="1567" spans="10:13" x14ac:dyDescent="0.35">
      <c r="J1567" s="1"/>
      <c r="L1567" s="1"/>
      <c r="M1567" s="1"/>
    </row>
    <row r="1568" spans="10:13" x14ac:dyDescent="0.35">
      <c r="J1568" s="1"/>
      <c r="L1568" s="1"/>
      <c r="M1568" s="1"/>
    </row>
    <row r="1569" spans="10:13" x14ac:dyDescent="0.35">
      <c r="J1569" s="1"/>
      <c r="L1569" s="1"/>
      <c r="M1569" s="1"/>
    </row>
    <row r="1570" spans="10:13" x14ac:dyDescent="0.35">
      <c r="J1570" s="1"/>
      <c r="L1570" s="1"/>
      <c r="M1570" s="1"/>
    </row>
    <row r="1571" spans="10:13" x14ac:dyDescent="0.35">
      <c r="J1571" s="1"/>
      <c r="L1571" s="1"/>
      <c r="M1571" s="1"/>
    </row>
    <row r="1572" spans="10:13" x14ac:dyDescent="0.35">
      <c r="J1572" s="1"/>
      <c r="L1572" s="1"/>
      <c r="M1572" s="1"/>
    </row>
    <row r="1573" spans="10:13" x14ac:dyDescent="0.35">
      <c r="J1573" s="1"/>
      <c r="L1573" s="1"/>
      <c r="M1573" s="1"/>
    </row>
    <row r="1574" spans="10:13" x14ac:dyDescent="0.35">
      <c r="J1574" s="1"/>
      <c r="L1574" s="1"/>
      <c r="M1574" s="1"/>
    </row>
    <row r="1575" spans="10:13" x14ac:dyDescent="0.35">
      <c r="J1575" s="1"/>
      <c r="L1575" s="1"/>
      <c r="M1575" s="1"/>
    </row>
    <row r="1576" spans="10:13" x14ac:dyDescent="0.35">
      <c r="J1576" s="1"/>
      <c r="L1576" s="1"/>
      <c r="M1576" s="1"/>
    </row>
    <row r="1577" spans="10:13" x14ac:dyDescent="0.35">
      <c r="J1577" s="1"/>
      <c r="L1577" s="1"/>
      <c r="M1577" s="1"/>
    </row>
    <row r="1578" spans="10:13" x14ac:dyDescent="0.35">
      <c r="J1578" s="1"/>
      <c r="L1578" s="1"/>
      <c r="M1578" s="1"/>
    </row>
    <row r="1579" spans="10:13" x14ac:dyDescent="0.35">
      <c r="J1579" s="1"/>
      <c r="L1579" s="1"/>
      <c r="M1579" s="1"/>
    </row>
    <row r="1580" spans="10:13" x14ac:dyDescent="0.35">
      <c r="J1580" s="1"/>
      <c r="L1580" s="1"/>
      <c r="M1580" s="1"/>
    </row>
    <row r="1581" spans="10:13" x14ac:dyDescent="0.35">
      <c r="J1581" s="1"/>
      <c r="L1581" s="1"/>
      <c r="M1581" s="1"/>
    </row>
    <row r="1582" spans="10:13" x14ac:dyDescent="0.35">
      <c r="J1582" s="1"/>
      <c r="L1582" s="1"/>
      <c r="M1582" s="1"/>
    </row>
    <row r="1583" spans="10:13" x14ac:dyDescent="0.35">
      <c r="J1583" s="1"/>
      <c r="L1583" s="1"/>
      <c r="M1583" s="1"/>
    </row>
    <row r="1584" spans="10:13" x14ac:dyDescent="0.35">
      <c r="J1584" s="1"/>
      <c r="L1584" s="1"/>
      <c r="M1584" s="1"/>
    </row>
    <row r="1585" spans="10:13" x14ac:dyDescent="0.35">
      <c r="J1585" s="1"/>
      <c r="L1585" s="1"/>
      <c r="M1585" s="1"/>
    </row>
    <row r="1586" spans="10:13" x14ac:dyDescent="0.35">
      <c r="J1586" s="1"/>
      <c r="L1586" s="1"/>
      <c r="M1586" s="1"/>
    </row>
    <row r="1587" spans="10:13" x14ac:dyDescent="0.35">
      <c r="J1587" s="1"/>
      <c r="L1587" s="1"/>
      <c r="M1587" s="1"/>
    </row>
    <row r="1588" spans="10:13" x14ac:dyDescent="0.35">
      <c r="J1588" s="1"/>
      <c r="L1588" s="1"/>
      <c r="M1588" s="1"/>
    </row>
    <row r="1589" spans="10:13" x14ac:dyDescent="0.35">
      <c r="J1589" s="1"/>
      <c r="L1589" s="1"/>
      <c r="M1589" s="1"/>
    </row>
    <row r="1590" spans="10:13" x14ac:dyDescent="0.35">
      <c r="J1590" s="1"/>
      <c r="L1590" s="1"/>
      <c r="M1590" s="1"/>
    </row>
    <row r="1591" spans="10:13" x14ac:dyDescent="0.35">
      <c r="J1591" s="1"/>
      <c r="L1591" s="1"/>
      <c r="M1591" s="1"/>
    </row>
    <row r="1592" spans="10:13" x14ac:dyDescent="0.35">
      <c r="J1592" s="1"/>
      <c r="L1592" s="1"/>
      <c r="M1592" s="1"/>
    </row>
    <row r="1593" spans="10:13" x14ac:dyDescent="0.35">
      <c r="J1593" s="1"/>
      <c r="L1593" s="1"/>
      <c r="M1593" s="1"/>
    </row>
    <row r="1594" spans="10:13" x14ac:dyDescent="0.35">
      <c r="J1594" s="1"/>
      <c r="L1594" s="1"/>
      <c r="M1594" s="1"/>
    </row>
    <row r="1595" spans="10:13" x14ac:dyDescent="0.35">
      <c r="J1595" s="1"/>
      <c r="L1595" s="1"/>
      <c r="M1595" s="1"/>
    </row>
    <row r="1596" spans="10:13" x14ac:dyDescent="0.35">
      <c r="J1596" s="1"/>
      <c r="L1596" s="1"/>
      <c r="M1596" s="1"/>
    </row>
    <row r="1597" spans="10:13" x14ac:dyDescent="0.35">
      <c r="J1597" s="1"/>
      <c r="L1597" s="1"/>
      <c r="M1597" s="1"/>
    </row>
    <row r="1598" spans="10:13" x14ac:dyDescent="0.35">
      <c r="J1598" s="1"/>
      <c r="L1598" s="1"/>
      <c r="M1598" s="1"/>
    </row>
    <row r="1599" spans="10:13" x14ac:dyDescent="0.35">
      <c r="J1599" s="1"/>
      <c r="L1599" s="1"/>
      <c r="M1599" s="1"/>
    </row>
    <row r="1600" spans="10:13" x14ac:dyDescent="0.35">
      <c r="J1600" s="1"/>
      <c r="L1600" s="1"/>
      <c r="M1600" s="1"/>
    </row>
    <row r="1601" spans="10:13" x14ac:dyDescent="0.35">
      <c r="J1601" s="1"/>
      <c r="L1601" s="1"/>
      <c r="M1601" s="1"/>
    </row>
    <row r="1602" spans="10:13" x14ac:dyDescent="0.35">
      <c r="J1602" s="1"/>
      <c r="L1602" s="1"/>
      <c r="M1602" s="1"/>
    </row>
    <row r="1603" spans="10:13" x14ac:dyDescent="0.35">
      <c r="J1603" s="1"/>
      <c r="L1603" s="1"/>
      <c r="M1603" s="1"/>
    </row>
    <row r="1604" spans="10:13" x14ac:dyDescent="0.35">
      <c r="J1604" s="1"/>
      <c r="L1604" s="1"/>
      <c r="M1604" s="1"/>
    </row>
    <row r="1605" spans="10:13" x14ac:dyDescent="0.35">
      <c r="J1605" s="1"/>
      <c r="L1605" s="1"/>
      <c r="M1605" s="1"/>
    </row>
    <row r="1606" spans="10:13" x14ac:dyDescent="0.35">
      <c r="J1606" s="1"/>
      <c r="L1606" s="1"/>
      <c r="M1606" s="1"/>
    </row>
    <row r="1607" spans="10:13" x14ac:dyDescent="0.35">
      <c r="J1607" s="1"/>
      <c r="L1607" s="1"/>
      <c r="M1607" s="1"/>
    </row>
    <row r="1608" spans="10:13" x14ac:dyDescent="0.35">
      <c r="J1608" s="1"/>
      <c r="L1608" s="1"/>
      <c r="M1608" s="1"/>
    </row>
    <row r="1609" spans="10:13" x14ac:dyDescent="0.35">
      <c r="J1609" s="1"/>
      <c r="L1609" s="1"/>
      <c r="M1609" s="1"/>
    </row>
    <row r="1610" spans="10:13" x14ac:dyDescent="0.35">
      <c r="J1610" s="1"/>
      <c r="L1610" s="1"/>
      <c r="M1610" s="1"/>
    </row>
    <row r="1611" spans="10:13" x14ac:dyDescent="0.35">
      <c r="J1611" s="1"/>
      <c r="L1611" s="1"/>
      <c r="M1611" s="1"/>
    </row>
    <row r="1612" spans="10:13" x14ac:dyDescent="0.35">
      <c r="J1612" s="1"/>
      <c r="L1612" s="1"/>
      <c r="M1612" s="1"/>
    </row>
    <row r="1613" spans="10:13" x14ac:dyDescent="0.35">
      <c r="J1613" s="1"/>
      <c r="L1613" s="1"/>
      <c r="M1613" s="1"/>
    </row>
    <row r="1614" spans="10:13" x14ac:dyDescent="0.35">
      <c r="J1614" s="1"/>
      <c r="L1614" s="1"/>
      <c r="M1614" s="1"/>
    </row>
    <row r="1615" spans="10:13" x14ac:dyDescent="0.35">
      <c r="J1615" s="1"/>
      <c r="L1615" s="1"/>
      <c r="M1615" s="1"/>
    </row>
    <row r="1616" spans="10:13" x14ac:dyDescent="0.35">
      <c r="J1616" s="1"/>
      <c r="L1616" s="1"/>
      <c r="M1616" s="1"/>
    </row>
    <row r="1617" spans="10:13" x14ac:dyDescent="0.35">
      <c r="J1617" s="1"/>
      <c r="L1617" s="1"/>
      <c r="M1617" s="1"/>
    </row>
    <row r="1618" spans="10:13" x14ac:dyDescent="0.35">
      <c r="J1618" s="1"/>
      <c r="L1618" s="1"/>
      <c r="M1618" s="1"/>
    </row>
    <row r="1619" spans="10:13" x14ac:dyDescent="0.35">
      <c r="J1619" s="1"/>
      <c r="L1619" s="1"/>
      <c r="M1619" s="1"/>
    </row>
    <row r="1620" spans="10:13" x14ac:dyDescent="0.35">
      <c r="J1620" s="1"/>
      <c r="L1620" s="1"/>
      <c r="M1620" s="1"/>
    </row>
    <row r="1621" spans="10:13" x14ac:dyDescent="0.35">
      <c r="J1621" s="1"/>
      <c r="L1621" s="1"/>
      <c r="M1621" s="1"/>
    </row>
    <row r="1622" spans="10:13" x14ac:dyDescent="0.35">
      <c r="J1622" s="1"/>
      <c r="L1622" s="1"/>
      <c r="M1622" s="1"/>
    </row>
    <row r="1623" spans="10:13" x14ac:dyDescent="0.35">
      <c r="J1623" s="1"/>
      <c r="L1623" s="1"/>
      <c r="M1623" s="1"/>
    </row>
    <row r="1624" spans="10:13" x14ac:dyDescent="0.35">
      <c r="J1624" s="1"/>
      <c r="L1624" s="1"/>
      <c r="M1624" s="1"/>
    </row>
    <row r="1625" spans="10:13" x14ac:dyDescent="0.35">
      <c r="J1625" s="1"/>
      <c r="L1625" s="1"/>
      <c r="M1625" s="1"/>
    </row>
    <row r="1626" spans="10:13" x14ac:dyDescent="0.35">
      <c r="J1626" s="1"/>
      <c r="L1626" s="1"/>
      <c r="M1626" s="1"/>
    </row>
    <row r="1627" spans="10:13" x14ac:dyDescent="0.35">
      <c r="J1627" s="1"/>
      <c r="L1627" s="1"/>
      <c r="M1627" s="1"/>
    </row>
    <row r="1628" spans="10:13" x14ac:dyDescent="0.35">
      <c r="J1628" s="1"/>
      <c r="L1628" s="1"/>
      <c r="M1628" s="1"/>
    </row>
    <row r="1629" spans="10:13" x14ac:dyDescent="0.35">
      <c r="J1629" s="1"/>
      <c r="L1629" s="1"/>
      <c r="M1629" s="1"/>
    </row>
    <row r="1630" spans="10:13" x14ac:dyDescent="0.35">
      <c r="J1630" s="1"/>
      <c r="L1630" s="1"/>
      <c r="M1630" s="1"/>
    </row>
    <row r="1631" spans="10:13" x14ac:dyDescent="0.35">
      <c r="J1631" s="1"/>
      <c r="L1631" s="1"/>
      <c r="M1631" s="1"/>
    </row>
    <row r="1632" spans="10:13" x14ac:dyDescent="0.35">
      <c r="J1632" s="1"/>
      <c r="L1632" s="1"/>
      <c r="M1632" s="1"/>
    </row>
    <row r="1633" spans="10:13" x14ac:dyDescent="0.35">
      <c r="J1633" s="1"/>
      <c r="L1633" s="1"/>
      <c r="M1633" s="1"/>
    </row>
    <row r="1634" spans="10:13" x14ac:dyDescent="0.35">
      <c r="J1634" s="1"/>
      <c r="L1634" s="1"/>
      <c r="M1634" s="1"/>
    </row>
    <row r="1635" spans="10:13" x14ac:dyDescent="0.35">
      <c r="J1635" s="1"/>
      <c r="L1635" s="1"/>
      <c r="M1635" s="1"/>
    </row>
    <row r="1636" spans="10:13" x14ac:dyDescent="0.35">
      <c r="J1636" s="1"/>
      <c r="L1636" s="1"/>
      <c r="M1636" s="1"/>
    </row>
    <row r="1637" spans="10:13" x14ac:dyDescent="0.35">
      <c r="J1637" s="1"/>
      <c r="L1637" s="1"/>
      <c r="M1637" s="1"/>
    </row>
    <row r="1638" spans="10:13" x14ac:dyDescent="0.35">
      <c r="J1638" s="1"/>
      <c r="L1638" s="1"/>
      <c r="M1638" s="1"/>
    </row>
    <row r="1639" spans="10:13" x14ac:dyDescent="0.35">
      <c r="J1639" s="1"/>
      <c r="L1639" s="1"/>
      <c r="M1639" s="1"/>
    </row>
    <row r="1640" spans="10:13" x14ac:dyDescent="0.35">
      <c r="J1640" s="1"/>
      <c r="L1640" s="1"/>
      <c r="M1640" s="1"/>
    </row>
    <row r="1641" spans="10:13" x14ac:dyDescent="0.35">
      <c r="J1641" s="1"/>
      <c r="L1641" s="1"/>
      <c r="M1641" s="1"/>
    </row>
    <row r="1642" spans="10:13" x14ac:dyDescent="0.35">
      <c r="J1642" s="1"/>
      <c r="L1642" s="1"/>
      <c r="M1642" s="1"/>
    </row>
    <row r="1643" spans="10:13" x14ac:dyDescent="0.35">
      <c r="J1643" s="1"/>
      <c r="L1643" s="1"/>
      <c r="M1643" s="1"/>
    </row>
    <row r="1644" spans="10:13" x14ac:dyDescent="0.35">
      <c r="J1644" s="1"/>
      <c r="L1644" s="1"/>
      <c r="M1644" s="1"/>
    </row>
    <row r="1645" spans="10:13" x14ac:dyDescent="0.35">
      <c r="J1645" s="1"/>
      <c r="L1645" s="1"/>
      <c r="M1645" s="1"/>
    </row>
    <row r="1646" spans="10:13" x14ac:dyDescent="0.35">
      <c r="J1646" s="1"/>
      <c r="L1646" s="1"/>
      <c r="M1646" s="1"/>
    </row>
    <row r="1647" spans="10:13" x14ac:dyDescent="0.35">
      <c r="J1647" s="1"/>
      <c r="L1647" s="1"/>
      <c r="M1647" s="1"/>
    </row>
    <row r="1648" spans="10:13" x14ac:dyDescent="0.35">
      <c r="J1648" s="1"/>
      <c r="L1648" s="1"/>
      <c r="M1648" s="1"/>
    </row>
    <row r="1649" spans="10:13" x14ac:dyDescent="0.35">
      <c r="J1649" s="1"/>
      <c r="L1649" s="1"/>
      <c r="M1649" s="1"/>
    </row>
    <row r="1650" spans="10:13" x14ac:dyDescent="0.35">
      <c r="J1650" s="1"/>
      <c r="L1650" s="1"/>
      <c r="M1650" s="1"/>
    </row>
    <row r="1651" spans="10:13" x14ac:dyDescent="0.35">
      <c r="J1651" s="1"/>
      <c r="L1651" s="1"/>
      <c r="M1651" s="1"/>
    </row>
    <row r="1652" spans="10:13" x14ac:dyDescent="0.35">
      <c r="J1652" s="1"/>
      <c r="L1652" s="1"/>
      <c r="M1652" s="1"/>
    </row>
    <row r="1653" spans="10:13" x14ac:dyDescent="0.35">
      <c r="J1653" s="1"/>
      <c r="L1653" s="1"/>
      <c r="M1653" s="1"/>
    </row>
    <row r="1654" spans="10:13" x14ac:dyDescent="0.35">
      <c r="J1654" s="1"/>
      <c r="L1654" s="1"/>
      <c r="M1654" s="1"/>
    </row>
    <row r="1655" spans="10:13" x14ac:dyDescent="0.35">
      <c r="J1655" s="1"/>
      <c r="L1655" s="1"/>
      <c r="M1655" s="1"/>
    </row>
    <row r="1656" spans="10:13" x14ac:dyDescent="0.35">
      <c r="J1656" s="1"/>
      <c r="L1656" s="1"/>
      <c r="M1656" s="1"/>
    </row>
    <row r="1657" spans="10:13" x14ac:dyDescent="0.35">
      <c r="J1657" s="1"/>
      <c r="L1657" s="1"/>
      <c r="M1657" s="1"/>
    </row>
    <row r="1658" spans="10:13" x14ac:dyDescent="0.35">
      <c r="J1658" s="1"/>
      <c r="L1658" s="1"/>
      <c r="M1658" s="1"/>
    </row>
    <row r="1659" spans="10:13" x14ac:dyDescent="0.35">
      <c r="J1659" s="1"/>
      <c r="L1659" s="1"/>
      <c r="M1659" s="1"/>
    </row>
    <row r="1660" spans="10:13" x14ac:dyDescent="0.35">
      <c r="J1660" s="1"/>
      <c r="L1660" s="1"/>
      <c r="M1660" s="1"/>
    </row>
    <row r="1661" spans="10:13" x14ac:dyDescent="0.35">
      <c r="J1661" s="1"/>
      <c r="L1661" s="1"/>
      <c r="M1661" s="1"/>
    </row>
    <row r="1662" spans="10:13" x14ac:dyDescent="0.35">
      <c r="J1662" s="1"/>
      <c r="L1662" s="1"/>
      <c r="M1662" s="1"/>
    </row>
    <row r="1663" spans="10:13" x14ac:dyDescent="0.35">
      <c r="J1663" s="1"/>
      <c r="L1663" s="1"/>
      <c r="M1663" s="1"/>
    </row>
    <row r="1664" spans="10:13" x14ac:dyDescent="0.35">
      <c r="J1664" s="1"/>
      <c r="L1664" s="1"/>
      <c r="M1664" s="1"/>
    </row>
    <row r="1665" spans="10:13" x14ac:dyDescent="0.35">
      <c r="J1665" s="1"/>
      <c r="L1665" s="1"/>
      <c r="M1665" s="1"/>
    </row>
    <row r="1666" spans="10:13" x14ac:dyDescent="0.35">
      <c r="J1666" s="1"/>
      <c r="L1666" s="1"/>
      <c r="M1666" s="1"/>
    </row>
    <row r="1667" spans="10:13" x14ac:dyDescent="0.35">
      <c r="J1667" s="1"/>
      <c r="L1667" s="1"/>
      <c r="M1667" s="1"/>
    </row>
    <row r="1668" spans="10:13" x14ac:dyDescent="0.35">
      <c r="J1668" s="1"/>
      <c r="L1668" s="1"/>
      <c r="M1668" s="1"/>
    </row>
    <row r="1669" spans="10:13" x14ac:dyDescent="0.35">
      <c r="J1669" s="1"/>
      <c r="L1669" s="1"/>
      <c r="M1669" s="1"/>
    </row>
    <row r="1670" spans="10:13" x14ac:dyDescent="0.35">
      <c r="J1670" s="1"/>
      <c r="L1670" s="1"/>
      <c r="M1670" s="1"/>
    </row>
    <row r="1671" spans="10:13" x14ac:dyDescent="0.35">
      <c r="J1671" s="1"/>
      <c r="L1671" s="1"/>
      <c r="M1671" s="1"/>
    </row>
    <row r="1672" spans="10:13" x14ac:dyDescent="0.35">
      <c r="J1672" s="1"/>
      <c r="L1672" s="1"/>
      <c r="M1672" s="1"/>
    </row>
    <row r="1673" spans="10:13" x14ac:dyDescent="0.35">
      <c r="J1673" s="1"/>
      <c r="L1673" s="1"/>
      <c r="M1673" s="1"/>
    </row>
    <row r="1674" spans="10:13" x14ac:dyDescent="0.35">
      <c r="J1674" s="1"/>
      <c r="L1674" s="1"/>
      <c r="M1674" s="1"/>
    </row>
    <row r="1675" spans="10:13" x14ac:dyDescent="0.35">
      <c r="J1675" s="1"/>
      <c r="L1675" s="1"/>
      <c r="M1675" s="1"/>
    </row>
    <row r="1676" spans="10:13" x14ac:dyDescent="0.35">
      <c r="J1676" s="1"/>
      <c r="L1676" s="1"/>
      <c r="M1676" s="1"/>
    </row>
    <row r="1677" spans="10:13" x14ac:dyDescent="0.35">
      <c r="J1677" s="1"/>
      <c r="L1677" s="1"/>
      <c r="M1677" s="1"/>
    </row>
    <row r="1678" spans="10:13" x14ac:dyDescent="0.35">
      <c r="J1678" s="1"/>
      <c r="L1678" s="1"/>
      <c r="M1678" s="1"/>
    </row>
    <row r="1679" spans="10:13" x14ac:dyDescent="0.35">
      <c r="J1679" s="1"/>
      <c r="L1679" s="1"/>
      <c r="M1679" s="1"/>
    </row>
    <row r="1680" spans="10:13" x14ac:dyDescent="0.35">
      <c r="J1680" s="1"/>
      <c r="L1680" s="1"/>
      <c r="M1680" s="1"/>
    </row>
    <row r="1681" spans="10:13" x14ac:dyDescent="0.35">
      <c r="J1681" s="1"/>
      <c r="L1681" s="1"/>
      <c r="M1681" s="1"/>
    </row>
    <row r="1682" spans="10:13" x14ac:dyDescent="0.35">
      <c r="J1682" s="1"/>
      <c r="L1682" s="1"/>
      <c r="M1682" s="1"/>
    </row>
    <row r="1683" spans="10:13" x14ac:dyDescent="0.35">
      <c r="J1683" s="1"/>
      <c r="L1683" s="1"/>
      <c r="M1683" s="1"/>
    </row>
    <row r="1684" spans="10:13" x14ac:dyDescent="0.35">
      <c r="J1684" s="1"/>
      <c r="L1684" s="1"/>
      <c r="M1684" s="1"/>
    </row>
    <row r="1685" spans="10:13" x14ac:dyDescent="0.35">
      <c r="J1685" s="1"/>
      <c r="L1685" s="1"/>
      <c r="M1685" s="1"/>
    </row>
    <row r="1686" spans="10:13" x14ac:dyDescent="0.35">
      <c r="J1686" s="1"/>
      <c r="L1686" s="1"/>
      <c r="M1686" s="1"/>
    </row>
    <row r="1687" spans="10:13" x14ac:dyDescent="0.35">
      <c r="J1687" s="1"/>
      <c r="L1687" s="1"/>
      <c r="M1687" s="1"/>
    </row>
    <row r="1688" spans="10:13" x14ac:dyDescent="0.35">
      <c r="J1688" s="1"/>
      <c r="L1688" s="1"/>
      <c r="M1688" s="1"/>
    </row>
    <row r="1689" spans="10:13" x14ac:dyDescent="0.35">
      <c r="J1689" s="1"/>
      <c r="L1689" s="1"/>
      <c r="M1689" s="1"/>
    </row>
    <row r="1690" spans="10:13" x14ac:dyDescent="0.35">
      <c r="J1690" s="1"/>
      <c r="L1690" s="1"/>
      <c r="M1690" s="1"/>
    </row>
    <row r="1691" spans="10:13" x14ac:dyDescent="0.35">
      <c r="J1691" s="1"/>
      <c r="L1691" s="1"/>
      <c r="M1691" s="1"/>
    </row>
    <row r="1692" spans="10:13" x14ac:dyDescent="0.35">
      <c r="J1692" s="1"/>
      <c r="L1692" s="1"/>
      <c r="M1692" s="1"/>
    </row>
    <row r="1693" spans="10:13" x14ac:dyDescent="0.35">
      <c r="J1693" s="1"/>
      <c r="L1693" s="1"/>
      <c r="M1693" s="1"/>
    </row>
    <row r="1694" spans="10:13" x14ac:dyDescent="0.35">
      <c r="J1694" s="1"/>
      <c r="L1694" s="1"/>
      <c r="M1694" s="1"/>
    </row>
    <row r="1695" spans="10:13" x14ac:dyDescent="0.35">
      <c r="J1695" s="1"/>
      <c r="L1695" s="1"/>
      <c r="M1695" s="1"/>
    </row>
    <row r="1696" spans="10:13" x14ac:dyDescent="0.35">
      <c r="J1696" s="1"/>
      <c r="L1696" s="1"/>
      <c r="M1696" s="1"/>
    </row>
    <row r="1697" spans="10:13" x14ac:dyDescent="0.35">
      <c r="J1697" s="1"/>
      <c r="L1697" s="1"/>
      <c r="M1697" s="1"/>
    </row>
    <row r="1698" spans="10:13" x14ac:dyDescent="0.35">
      <c r="J1698" s="1"/>
      <c r="L1698" s="1"/>
      <c r="M1698" s="1"/>
    </row>
    <row r="1699" spans="10:13" x14ac:dyDescent="0.35">
      <c r="J1699" s="1"/>
      <c r="L1699" s="1"/>
      <c r="M1699" s="1"/>
    </row>
    <row r="1700" spans="10:13" x14ac:dyDescent="0.35">
      <c r="J1700" s="1"/>
      <c r="L1700" s="1"/>
      <c r="M1700" s="1"/>
    </row>
    <row r="1701" spans="10:13" x14ac:dyDescent="0.35">
      <c r="J1701" s="1"/>
      <c r="L1701" s="1"/>
      <c r="M1701" s="1"/>
    </row>
    <row r="1702" spans="10:13" x14ac:dyDescent="0.35">
      <c r="J1702" s="1"/>
      <c r="L1702" s="1"/>
      <c r="M1702" s="1"/>
    </row>
    <row r="1703" spans="10:13" x14ac:dyDescent="0.35">
      <c r="J1703" s="1"/>
      <c r="L1703" s="1"/>
      <c r="M1703" s="1"/>
    </row>
    <row r="1704" spans="10:13" x14ac:dyDescent="0.35">
      <c r="J1704" s="1"/>
      <c r="L1704" s="1"/>
      <c r="M1704" s="1"/>
    </row>
    <row r="1705" spans="10:13" x14ac:dyDescent="0.35">
      <c r="J1705" s="1"/>
      <c r="L1705" s="1"/>
      <c r="M1705" s="1"/>
    </row>
    <row r="1706" spans="10:13" x14ac:dyDescent="0.35">
      <c r="J1706" s="1"/>
      <c r="L1706" s="1"/>
      <c r="M1706" s="1"/>
    </row>
    <row r="1707" spans="10:13" x14ac:dyDescent="0.35">
      <c r="J1707" s="1"/>
      <c r="L1707" s="1"/>
      <c r="M1707" s="1"/>
    </row>
    <row r="1708" spans="10:13" x14ac:dyDescent="0.35">
      <c r="J1708" s="1"/>
      <c r="L1708" s="1"/>
      <c r="M1708" s="1"/>
    </row>
    <row r="1709" spans="10:13" x14ac:dyDescent="0.35">
      <c r="J1709" s="1"/>
      <c r="L1709" s="1"/>
      <c r="M1709" s="1"/>
    </row>
    <row r="1710" spans="10:13" x14ac:dyDescent="0.35">
      <c r="J1710" s="1"/>
      <c r="L1710" s="1"/>
      <c r="M1710" s="1"/>
    </row>
    <row r="1711" spans="10:13" x14ac:dyDescent="0.35">
      <c r="J1711" s="1"/>
      <c r="L1711" s="1"/>
      <c r="M1711" s="1"/>
    </row>
    <row r="1712" spans="10:13" x14ac:dyDescent="0.35">
      <c r="J1712" s="1"/>
      <c r="L1712" s="1"/>
      <c r="M1712" s="1"/>
    </row>
    <row r="1713" spans="10:13" x14ac:dyDescent="0.35">
      <c r="J1713" s="1"/>
      <c r="L1713" s="1"/>
      <c r="M1713" s="1"/>
    </row>
    <row r="1714" spans="10:13" x14ac:dyDescent="0.35">
      <c r="J1714" s="1"/>
      <c r="L1714" s="1"/>
      <c r="M1714" s="1"/>
    </row>
    <row r="1715" spans="10:13" x14ac:dyDescent="0.35">
      <c r="J1715" s="1"/>
      <c r="L1715" s="1"/>
      <c r="M1715" s="1"/>
    </row>
    <row r="1716" spans="10:13" x14ac:dyDescent="0.35">
      <c r="J1716" s="1"/>
      <c r="L1716" s="1"/>
      <c r="M1716" s="1"/>
    </row>
    <row r="1717" spans="10:13" x14ac:dyDescent="0.35">
      <c r="J1717" s="1"/>
      <c r="L1717" s="1"/>
      <c r="M1717" s="1"/>
    </row>
    <row r="1718" spans="10:13" x14ac:dyDescent="0.35">
      <c r="J1718" s="1"/>
      <c r="L1718" s="1"/>
      <c r="M1718" s="1"/>
    </row>
    <row r="1719" spans="10:13" x14ac:dyDescent="0.35">
      <c r="J1719" s="1"/>
      <c r="L1719" s="1"/>
      <c r="M1719" s="1"/>
    </row>
    <row r="1720" spans="10:13" x14ac:dyDescent="0.35">
      <c r="J1720" s="1"/>
      <c r="L1720" s="1"/>
      <c r="M1720" s="1"/>
    </row>
    <row r="1721" spans="10:13" x14ac:dyDescent="0.35">
      <c r="J1721" s="1"/>
      <c r="L1721" s="1"/>
      <c r="M1721" s="1"/>
    </row>
    <row r="1722" spans="10:13" x14ac:dyDescent="0.35">
      <c r="J1722" s="1"/>
      <c r="L1722" s="1"/>
      <c r="M1722" s="1"/>
    </row>
    <row r="1723" spans="10:13" x14ac:dyDescent="0.35">
      <c r="J1723" s="1"/>
      <c r="L1723" s="1"/>
      <c r="M1723" s="1"/>
    </row>
    <row r="1724" spans="10:13" x14ac:dyDescent="0.35">
      <c r="J1724" s="1"/>
      <c r="L1724" s="1"/>
      <c r="M1724" s="1"/>
    </row>
    <row r="1725" spans="10:13" x14ac:dyDescent="0.35">
      <c r="J1725" s="1"/>
      <c r="L1725" s="1"/>
      <c r="M1725" s="1"/>
    </row>
    <row r="1726" spans="10:13" x14ac:dyDescent="0.35">
      <c r="J1726" s="1"/>
      <c r="L1726" s="1"/>
      <c r="M1726" s="1"/>
    </row>
    <row r="1727" spans="10:13" x14ac:dyDescent="0.35">
      <c r="J1727" s="1"/>
      <c r="L1727" s="1"/>
      <c r="M1727" s="1"/>
    </row>
    <row r="1728" spans="10:13" x14ac:dyDescent="0.35">
      <c r="J1728" s="1"/>
      <c r="L1728" s="1"/>
      <c r="M1728" s="1"/>
    </row>
    <row r="1729" spans="10:13" x14ac:dyDescent="0.35">
      <c r="J1729" s="1"/>
      <c r="L1729" s="1"/>
      <c r="M1729" s="1"/>
    </row>
    <row r="1730" spans="10:13" x14ac:dyDescent="0.35">
      <c r="J1730" s="1"/>
      <c r="L1730" s="1"/>
      <c r="M1730" s="1"/>
    </row>
    <row r="1731" spans="10:13" x14ac:dyDescent="0.35">
      <c r="J1731" s="1"/>
      <c r="L1731" s="1"/>
      <c r="M1731" s="1"/>
    </row>
    <row r="1732" spans="10:13" x14ac:dyDescent="0.35">
      <c r="J1732" s="1"/>
      <c r="L1732" s="1"/>
      <c r="M1732" s="1"/>
    </row>
    <row r="1733" spans="10:13" x14ac:dyDescent="0.35">
      <c r="J1733" s="1"/>
      <c r="L1733" s="1"/>
      <c r="M1733" s="1"/>
    </row>
    <row r="1734" spans="10:13" x14ac:dyDescent="0.35">
      <c r="J1734" s="1"/>
      <c r="L1734" s="1"/>
      <c r="M1734" s="1"/>
    </row>
    <row r="1735" spans="10:13" x14ac:dyDescent="0.35">
      <c r="J1735" s="1"/>
      <c r="L1735" s="1"/>
      <c r="M1735" s="1"/>
    </row>
    <row r="1736" spans="10:13" x14ac:dyDescent="0.35">
      <c r="J1736" s="1"/>
      <c r="L1736" s="1"/>
      <c r="M1736" s="1"/>
    </row>
    <row r="1737" spans="10:13" x14ac:dyDescent="0.35">
      <c r="J1737" s="1"/>
      <c r="L1737" s="1"/>
      <c r="M1737" s="1"/>
    </row>
    <row r="1738" spans="10:13" x14ac:dyDescent="0.35">
      <c r="J1738" s="1"/>
      <c r="L1738" s="1"/>
      <c r="M1738" s="1"/>
    </row>
    <row r="1739" spans="10:13" x14ac:dyDescent="0.35">
      <c r="J1739" s="1"/>
      <c r="L1739" s="1"/>
      <c r="M1739" s="1"/>
    </row>
    <row r="1740" spans="10:13" x14ac:dyDescent="0.35">
      <c r="J1740" s="1"/>
      <c r="L1740" s="1"/>
      <c r="M1740" s="1"/>
    </row>
    <row r="1741" spans="10:13" x14ac:dyDescent="0.35">
      <c r="J1741" s="1"/>
      <c r="L1741" s="1"/>
      <c r="M1741" s="1"/>
    </row>
    <row r="1742" spans="10:13" x14ac:dyDescent="0.35">
      <c r="J1742" s="1"/>
      <c r="L1742" s="1"/>
      <c r="M1742" s="1"/>
    </row>
    <row r="1743" spans="10:13" x14ac:dyDescent="0.35">
      <c r="J1743" s="1"/>
      <c r="L1743" s="1"/>
      <c r="M1743" s="1"/>
    </row>
    <row r="1744" spans="10:13" x14ac:dyDescent="0.35">
      <c r="J1744" s="1"/>
      <c r="L1744" s="1"/>
      <c r="M1744" s="1"/>
    </row>
    <row r="1745" spans="10:13" x14ac:dyDescent="0.35">
      <c r="J1745" s="1"/>
      <c r="L1745" s="1"/>
      <c r="M1745" s="1"/>
    </row>
    <row r="1746" spans="10:13" x14ac:dyDescent="0.35">
      <c r="J1746" s="1"/>
      <c r="L1746" s="1"/>
      <c r="M1746" s="1"/>
    </row>
    <row r="1747" spans="10:13" x14ac:dyDescent="0.35">
      <c r="J1747" s="1"/>
      <c r="L1747" s="1"/>
      <c r="M1747" s="1"/>
    </row>
    <row r="1748" spans="10:13" x14ac:dyDescent="0.35">
      <c r="J1748" s="1"/>
      <c r="L1748" s="1"/>
      <c r="M1748" s="1"/>
    </row>
    <row r="1749" spans="10:13" x14ac:dyDescent="0.35">
      <c r="J1749" s="1"/>
      <c r="L1749" s="1"/>
      <c r="M1749" s="1"/>
    </row>
    <row r="1750" spans="10:13" x14ac:dyDescent="0.35">
      <c r="J1750" s="1"/>
      <c r="L1750" s="1"/>
      <c r="M1750" s="1"/>
    </row>
    <row r="1751" spans="10:13" x14ac:dyDescent="0.35">
      <c r="J1751" s="1"/>
      <c r="L1751" s="1"/>
      <c r="M1751" s="1"/>
    </row>
    <row r="1752" spans="10:13" x14ac:dyDescent="0.35">
      <c r="J1752" s="1"/>
      <c r="L1752" s="1"/>
      <c r="M1752" s="1"/>
    </row>
    <row r="1753" spans="10:13" x14ac:dyDescent="0.35">
      <c r="J1753" s="1"/>
      <c r="L1753" s="1"/>
      <c r="M1753" s="1"/>
    </row>
    <row r="1754" spans="10:13" x14ac:dyDescent="0.35">
      <c r="J1754" s="1"/>
      <c r="L1754" s="1"/>
      <c r="M1754" s="1"/>
    </row>
    <row r="1755" spans="10:13" x14ac:dyDescent="0.35">
      <c r="J1755" s="1"/>
      <c r="L1755" s="1"/>
      <c r="M1755" s="1"/>
    </row>
    <row r="1756" spans="10:13" x14ac:dyDescent="0.35">
      <c r="J1756" s="1"/>
      <c r="L1756" s="1"/>
      <c r="M1756" s="1"/>
    </row>
    <row r="1757" spans="10:13" x14ac:dyDescent="0.35">
      <c r="J1757" s="1"/>
      <c r="L1757" s="1"/>
      <c r="M1757" s="1"/>
    </row>
    <row r="1758" spans="10:13" x14ac:dyDescent="0.35">
      <c r="J1758" s="1"/>
      <c r="L1758" s="1"/>
      <c r="M1758" s="1"/>
    </row>
    <row r="1759" spans="10:13" x14ac:dyDescent="0.35">
      <c r="J1759" s="1"/>
      <c r="L1759" s="1"/>
      <c r="M1759" s="1"/>
    </row>
    <row r="1760" spans="10:13" x14ac:dyDescent="0.35">
      <c r="J1760" s="1"/>
      <c r="L1760" s="1"/>
      <c r="M1760" s="1"/>
    </row>
    <row r="1761" spans="10:13" x14ac:dyDescent="0.35">
      <c r="J1761" s="1"/>
      <c r="L1761" s="1"/>
      <c r="M1761" s="1"/>
    </row>
    <row r="1762" spans="10:13" x14ac:dyDescent="0.35">
      <c r="J1762" s="1"/>
      <c r="L1762" s="1"/>
      <c r="M1762" s="1"/>
    </row>
    <row r="1763" spans="10:13" x14ac:dyDescent="0.35">
      <c r="J1763" s="1"/>
      <c r="L1763" s="1"/>
      <c r="M1763" s="1"/>
    </row>
    <row r="1764" spans="10:13" x14ac:dyDescent="0.35">
      <c r="J1764" s="1"/>
      <c r="L1764" s="1"/>
      <c r="M1764" s="1"/>
    </row>
    <row r="1765" spans="10:13" x14ac:dyDescent="0.35">
      <c r="J1765" s="1"/>
      <c r="L1765" s="1"/>
      <c r="M1765" s="1"/>
    </row>
    <row r="1766" spans="10:13" x14ac:dyDescent="0.35">
      <c r="J1766" s="1"/>
      <c r="L1766" s="1"/>
      <c r="M1766" s="1"/>
    </row>
    <row r="1767" spans="10:13" x14ac:dyDescent="0.35">
      <c r="J1767" s="1"/>
      <c r="L1767" s="1"/>
      <c r="M1767" s="1"/>
    </row>
    <row r="1768" spans="10:13" x14ac:dyDescent="0.35">
      <c r="J1768" s="1"/>
      <c r="L1768" s="1"/>
      <c r="M1768" s="1"/>
    </row>
    <row r="1769" spans="10:13" x14ac:dyDescent="0.35">
      <c r="J1769" s="1"/>
      <c r="L1769" s="1"/>
      <c r="M1769" s="1"/>
    </row>
    <row r="1770" spans="10:13" x14ac:dyDescent="0.35">
      <c r="J1770" s="1"/>
      <c r="L1770" s="1"/>
      <c r="M1770" s="1"/>
    </row>
    <row r="1771" spans="10:13" x14ac:dyDescent="0.35">
      <c r="J1771" s="1"/>
      <c r="L1771" s="1"/>
      <c r="M1771" s="1"/>
    </row>
    <row r="1772" spans="10:13" x14ac:dyDescent="0.35">
      <c r="J1772" s="1"/>
      <c r="L1772" s="1"/>
      <c r="M1772" s="1"/>
    </row>
    <row r="1773" spans="10:13" x14ac:dyDescent="0.35">
      <c r="J1773" s="1"/>
      <c r="L1773" s="1"/>
      <c r="M1773" s="1"/>
    </row>
    <row r="1774" spans="10:13" x14ac:dyDescent="0.35">
      <c r="J1774" s="1"/>
      <c r="L1774" s="1"/>
      <c r="M1774" s="1"/>
    </row>
    <row r="1775" spans="10:13" x14ac:dyDescent="0.35">
      <c r="J1775" s="1"/>
      <c r="L1775" s="1"/>
      <c r="M1775" s="1"/>
    </row>
    <row r="1776" spans="10:13" x14ac:dyDescent="0.35">
      <c r="J1776" s="1"/>
      <c r="L1776" s="1"/>
      <c r="M1776" s="1"/>
    </row>
    <row r="1777" spans="10:13" x14ac:dyDescent="0.35">
      <c r="J1777" s="1"/>
      <c r="L1777" s="1"/>
      <c r="M1777" s="1"/>
    </row>
    <row r="1778" spans="10:13" x14ac:dyDescent="0.35">
      <c r="J1778" s="1"/>
      <c r="L1778" s="1"/>
      <c r="M1778" s="1"/>
    </row>
    <row r="1779" spans="10:13" x14ac:dyDescent="0.35">
      <c r="J1779" s="1"/>
      <c r="L1779" s="1"/>
      <c r="M1779" s="1"/>
    </row>
    <row r="1780" spans="10:13" x14ac:dyDescent="0.35">
      <c r="J1780" s="1"/>
      <c r="L1780" s="1"/>
      <c r="M1780" s="1"/>
    </row>
    <row r="1781" spans="10:13" x14ac:dyDescent="0.35">
      <c r="J1781" s="1"/>
      <c r="L1781" s="1"/>
      <c r="M1781" s="1"/>
    </row>
    <row r="1782" spans="10:13" x14ac:dyDescent="0.35">
      <c r="J1782" s="1"/>
      <c r="L1782" s="1"/>
      <c r="M1782" s="1"/>
    </row>
    <row r="1783" spans="10:13" x14ac:dyDescent="0.35">
      <c r="J1783" s="1"/>
      <c r="L1783" s="1"/>
      <c r="M1783" s="1"/>
    </row>
    <row r="1784" spans="10:13" x14ac:dyDescent="0.35">
      <c r="J1784" s="1"/>
      <c r="L1784" s="1"/>
      <c r="M1784" s="1"/>
    </row>
    <row r="1785" spans="10:13" x14ac:dyDescent="0.35">
      <c r="J1785" s="1"/>
      <c r="L1785" s="1"/>
      <c r="M1785" s="1"/>
    </row>
    <row r="1786" spans="10:13" x14ac:dyDescent="0.35">
      <c r="J1786" s="1"/>
      <c r="L1786" s="1"/>
      <c r="M1786" s="1"/>
    </row>
    <row r="1787" spans="10:13" x14ac:dyDescent="0.35">
      <c r="J1787" s="1"/>
      <c r="L1787" s="1"/>
      <c r="M1787" s="1"/>
    </row>
    <row r="1788" spans="10:13" x14ac:dyDescent="0.35">
      <c r="J1788" s="1"/>
      <c r="L1788" s="1"/>
      <c r="M1788" s="1"/>
    </row>
    <row r="1789" spans="10:13" x14ac:dyDescent="0.35">
      <c r="J1789" s="1"/>
      <c r="L1789" s="1"/>
      <c r="M1789" s="1"/>
    </row>
    <row r="1790" spans="10:13" x14ac:dyDescent="0.35">
      <c r="J1790" s="1"/>
      <c r="L1790" s="1"/>
      <c r="M1790" s="1"/>
    </row>
    <row r="1791" spans="10:13" x14ac:dyDescent="0.35">
      <c r="J1791" s="1"/>
      <c r="L1791" s="1"/>
      <c r="M1791" s="1"/>
    </row>
    <row r="1792" spans="10:13" x14ac:dyDescent="0.35">
      <c r="J1792" s="1"/>
      <c r="L1792" s="1"/>
      <c r="M1792" s="1"/>
    </row>
    <row r="1793" spans="10:13" x14ac:dyDescent="0.35">
      <c r="J1793" s="1"/>
      <c r="L1793" s="1"/>
      <c r="M1793" s="1"/>
    </row>
    <row r="1794" spans="10:13" x14ac:dyDescent="0.35">
      <c r="J1794" s="1"/>
      <c r="L1794" s="1"/>
      <c r="M1794" s="1"/>
    </row>
    <row r="1795" spans="10:13" x14ac:dyDescent="0.35">
      <c r="J1795" s="1"/>
      <c r="L1795" s="1"/>
      <c r="M1795" s="1"/>
    </row>
    <row r="1796" spans="10:13" x14ac:dyDescent="0.35">
      <c r="J1796" s="1"/>
      <c r="L1796" s="1"/>
      <c r="M1796" s="1"/>
    </row>
    <row r="1797" spans="10:13" x14ac:dyDescent="0.35">
      <c r="J1797" s="1"/>
      <c r="L1797" s="1"/>
      <c r="M1797" s="1"/>
    </row>
    <row r="1798" spans="10:13" x14ac:dyDescent="0.35">
      <c r="J1798" s="1"/>
      <c r="L1798" s="1"/>
      <c r="M1798" s="1"/>
    </row>
    <row r="1799" spans="10:13" x14ac:dyDescent="0.35">
      <c r="J1799" s="1"/>
      <c r="L1799" s="1"/>
      <c r="M1799" s="1"/>
    </row>
    <row r="1800" spans="10:13" x14ac:dyDescent="0.35">
      <c r="J1800" s="1"/>
      <c r="L1800" s="1"/>
      <c r="M1800" s="1"/>
    </row>
    <row r="1801" spans="10:13" x14ac:dyDescent="0.35">
      <c r="J1801" s="1"/>
      <c r="L1801" s="1"/>
      <c r="M1801" s="1"/>
    </row>
    <row r="1802" spans="10:13" x14ac:dyDescent="0.35">
      <c r="J1802" s="1"/>
      <c r="L1802" s="1"/>
      <c r="M1802" s="1"/>
    </row>
    <row r="1803" spans="10:13" x14ac:dyDescent="0.35">
      <c r="J1803" s="1"/>
      <c r="L1803" s="1"/>
      <c r="M1803" s="1"/>
    </row>
    <row r="1804" spans="10:13" x14ac:dyDescent="0.35">
      <c r="J1804" s="1"/>
      <c r="L1804" s="1"/>
      <c r="M1804" s="1"/>
    </row>
    <row r="1805" spans="10:13" x14ac:dyDescent="0.35">
      <c r="J1805" s="1"/>
      <c r="L1805" s="1"/>
      <c r="M1805" s="1"/>
    </row>
    <row r="1806" spans="10:13" x14ac:dyDescent="0.35">
      <c r="J1806" s="1"/>
      <c r="L1806" s="1"/>
      <c r="M1806" s="1"/>
    </row>
    <row r="1807" spans="10:13" x14ac:dyDescent="0.35">
      <c r="J1807" s="1"/>
      <c r="L1807" s="1"/>
      <c r="M1807" s="1"/>
    </row>
    <row r="1808" spans="10:13" x14ac:dyDescent="0.35">
      <c r="J1808" s="1"/>
      <c r="L1808" s="1"/>
      <c r="M1808" s="1"/>
    </row>
    <row r="1809" spans="10:13" x14ac:dyDescent="0.35">
      <c r="J1809" s="1"/>
      <c r="L1809" s="1"/>
      <c r="M1809" s="1"/>
    </row>
    <row r="1810" spans="10:13" x14ac:dyDescent="0.35">
      <c r="J1810" s="1"/>
      <c r="L1810" s="1"/>
      <c r="M1810" s="1"/>
    </row>
    <row r="1811" spans="10:13" x14ac:dyDescent="0.35">
      <c r="J1811" s="1"/>
      <c r="L1811" s="1"/>
      <c r="M1811" s="1"/>
    </row>
    <row r="1812" spans="10:13" x14ac:dyDescent="0.35">
      <c r="J1812" s="1"/>
      <c r="L1812" s="1"/>
      <c r="M1812" s="1"/>
    </row>
    <row r="1813" spans="10:13" x14ac:dyDescent="0.35">
      <c r="J1813" s="1"/>
      <c r="L1813" s="1"/>
      <c r="M1813" s="1"/>
    </row>
    <row r="1814" spans="10:13" x14ac:dyDescent="0.35">
      <c r="J1814" s="1"/>
      <c r="L1814" s="1"/>
      <c r="M1814" s="1"/>
    </row>
    <row r="1815" spans="10:13" x14ac:dyDescent="0.35">
      <c r="J1815" s="1"/>
      <c r="L1815" s="1"/>
      <c r="M1815" s="1"/>
    </row>
    <row r="1816" spans="10:13" x14ac:dyDescent="0.35">
      <c r="J1816" s="1"/>
      <c r="L1816" s="1"/>
      <c r="M1816" s="1"/>
    </row>
    <row r="1817" spans="10:13" x14ac:dyDescent="0.35">
      <c r="J1817" s="1"/>
      <c r="L1817" s="1"/>
      <c r="M1817" s="1"/>
    </row>
    <row r="1818" spans="10:13" x14ac:dyDescent="0.35">
      <c r="J1818" s="1"/>
      <c r="L1818" s="1"/>
      <c r="M1818" s="1"/>
    </row>
    <row r="1819" spans="10:13" x14ac:dyDescent="0.35">
      <c r="J1819" s="1"/>
      <c r="L1819" s="1"/>
      <c r="M1819" s="1"/>
    </row>
    <row r="1820" spans="10:13" x14ac:dyDescent="0.35">
      <c r="J1820" s="1"/>
      <c r="L1820" s="1"/>
      <c r="M1820" s="1"/>
    </row>
    <row r="1821" spans="10:13" x14ac:dyDescent="0.35">
      <c r="J1821" s="1"/>
      <c r="L1821" s="1"/>
      <c r="M1821" s="1"/>
    </row>
    <row r="1822" spans="10:13" x14ac:dyDescent="0.35">
      <c r="J1822" s="1"/>
      <c r="L1822" s="1"/>
      <c r="M1822" s="1"/>
    </row>
    <row r="1823" spans="10:13" x14ac:dyDescent="0.35">
      <c r="J1823" s="1"/>
      <c r="L1823" s="1"/>
      <c r="M1823" s="1"/>
    </row>
    <row r="1824" spans="10:13" x14ac:dyDescent="0.35">
      <c r="J1824" s="1"/>
      <c r="L1824" s="1"/>
      <c r="M1824" s="1"/>
    </row>
    <row r="1825" spans="10:13" x14ac:dyDescent="0.35">
      <c r="J1825" s="1"/>
      <c r="L1825" s="1"/>
      <c r="M1825" s="1"/>
    </row>
    <row r="1826" spans="10:13" x14ac:dyDescent="0.35">
      <c r="J1826" s="1"/>
      <c r="L1826" s="1"/>
      <c r="M1826" s="1"/>
    </row>
    <row r="1827" spans="10:13" x14ac:dyDescent="0.35">
      <c r="J1827" s="1"/>
      <c r="L1827" s="1"/>
      <c r="M1827" s="1"/>
    </row>
    <row r="1828" spans="10:13" x14ac:dyDescent="0.35">
      <c r="J1828" s="1"/>
      <c r="L1828" s="1"/>
      <c r="M1828" s="1"/>
    </row>
    <row r="1829" spans="10:13" x14ac:dyDescent="0.35">
      <c r="J1829" s="1"/>
      <c r="L1829" s="1"/>
      <c r="M1829" s="1"/>
    </row>
    <row r="1830" spans="10:13" x14ac:dyDescent="0.35">
      <c r="J1830" s="1"/>
      <c r="L1830" s="1"/>
      <c r="M1830" s="1"/>
    </row>
    <row r="1831" spans="10:13" x14ac:dyDescent="0.35">
      <c r="J1831" s="1"/>
      <c r="L1831" s="1"/>
      <c r="M1831" s="1"/>
    </row>
    <row r="1832" spans="10:13" x14ac:dyDescent="0.35">
      <c r="J1832" s="1"/>
      <c r="L1832" s="1"/>
      <c r="M1832" s="1"/>
    </row>
    <row r="1833" spans="10:13" x14ac:dyDescent="0.35">
      <c r="J1833" s="1"/>
      <c r="L1833" s="1"/>
      <c r="M1833" s="1"/>
    </row>
    <row r="1834" spans="10:13" x14ac:dyDescent="0.35">
      <c r="J1834" s="1"/>
      <c r="L1834" s="1"/>
      <c r="M1834" s="1"/>
    </row>
    <row r="1835" spans="10:13" x14ac:dyDescent="0.35">
      <c r="J1835" s="1"/>
      <c r="L1835" s="1"/>
      <c r="M1835" s="1"/>
    </row>
    <row r="1836" spans="10:13" x14ac:dyDescent="0.35">
      <c r="J1836" s="1"/>
      <c r="L1836" s="1"/>
      <c r="M1836" s="1"/>
    </row>
    <row r="1837" spans="10:13" x14ac:dyDescent="0.35">
      <c r="J1837" s="1"/>
      <c r="L1837" s="1"/>
      <c r="M1837" s="1"/>
    </row>
    <row r="1838" spans="10:13" x14ac:dyDescent="0.35">
      <c r="J1838" s="1"/>
      <c r="L1838" s="1"/>
      <c r="M1838" s="1"/>
    </row>
    <row r="1839" spans="10:13" x14ac:dyDescent="0.35">
      <c r="J1839" s="1"/>
      <c r="L1839" s="1"/>
      <c r="M1839" s="1"/>
    </row>
    <row r="1840" spans="10:13" x14ac:dyDescent="0.35">
      <c r="J1840" s="1"/>
      <c r="L1840" s="1"/>
      <c r="M1840" s="1"/>
    </row>
    <row r="1841" spans="10:13" x14ac:dyDescent="0.35">
      <c r="J1841" s="1"/>
      <c r="L1841" s="1"/>
      <c r="M1841" s="1"/>
    </row>
    <row r="1842" spans="10:13" x14ac:dyDescent="0.35">
      <c r="J1842" s="1"/>
      <c r="L1842" s="1"/>
      <c r="M1842" s="1"/>
    </row>
    <row r="1843" spans="10:13" x14ac:dyDescent="0.35">
      <c r="J1843" s="1"/>
      <c r="L1843" s="1"/>
      <c r="M1843" s="1"/>
    </row>
    <row r="1844" spans="10:13" x14ac:dyDescent="0.35">
      <c r="J1844" s="1"/>
      <c r="L1844" s="1"/>
      <c r="M1844" s="1"/>
    </row>
    <row r="1845" spans="10:13" x14ac:dyDescent="0.35">
      <c r="J1845" s="1"/>
      <c r="L1845" s="1"/>
      <c r="M1845" s="1"/>
    </row>
    <row r="1846" spans="10:13" x14ac:dyDescent="0.35">
      <c r="J1846" s="1"/>
      <c r="L1846" s="1"/>
      <c r="M1846" s="1"/>
    </row>
    <row r="1847" spans="10:13" x14ac:dyDescent="0.35">
      <c r="J1847" s="1"/>
      <c r="L1847" s="1"/>
      <c r="M1847" s="1"/>
    </row>
    <row r="1848" spans="10:13" x14ac:dyDescent="0.35">
      <c r="J1848" s="1"/>
      <c r="L1848" s="1"/>
      <c r="M1848" s="1"/>
    </row>
    <row r="1849" spans="10:13" x14ac:dyDescent="0.35">
      <c r="J1849" s="1"/>
      <c r="L1849" s="1"/>
      <c r="M1849" s="1"/>
    </row>
    <row r="1850" spans="10:13" x14ac:dyDescent="0.35">
      <c r="J1850" s="1"/>
      <c r="L1850" s="1"/>
      <c r="M1850" s="1"/>
    </row>
    <row r="1851" spans="10:13" x14ac:dyDescent="0.35">
      <c r="J1851" s="1"/>
      <c r="L1851" s="1"/>
      <c r="M1851" s="1"/>
    </row>
    <row r="1852" spans="10:13" x14ac:dyDescent="0.35">
      <c r="J1852" s="1"/>
      <c r="L1852" s="1"/>
      <c r="M1852" s="1"/>
    </row>
    <row r="1853" spans="10:13" x14ac:dyDescent="0.35">
      <c r="J1853" s="1"/>
      <c r="L1853" s="1"/>
      <c r="M1853" s="1"/>
    </row>
    <row r="1854" spans="10:13" x14ac:dyDescent="0.35">
      <c r="J1854" s="1"/>
      <c r="L1854" s="1"/>
      <c r="M1854" s="1"/>
    </row>
    <row r="1855" spans="10:13" x14ac:dyDescent="0.35">
      <c r="J1855" s="1"/>
      <c r="L1855" s="1"/>
      <c r="M1855" s="1"/>
    </row>
    <row r="1856" spans="10:13" x14ac:dyDescent="0.35">
      <c r="J1856" s="1"/>
      <c r="L1856" s="1"/>
      <c r="M1856" s="1"/>
    </row>
    <row r="1857" spans="10:13" x14ac:dyDescent="0.35">
      <c r="J1857" s="1"/>
      <c r="L1857" s="1"/>
      <c r="M1857" s="1"/>
    </row>
    <row r="1858" spans="10:13" x14ac:dyDescent="0.35">
      <c r="J1858" s="1"/>
      <c r="L1858" s="1"/>
      <c r="M1858" s="1"/>
    </row>
    <row r="1859" spans="10:13" x14ac:dyDescent="0.35">
      <c r="J1859" s="1"/>
      <c r="L1859" s="1"/>
      <c r="M1859" s="1"/>
    </row>
    <row r="1860" spans="10:13" x14ac:dyDescent="0.35">
      <c r="J1860" s="1"/>
      <c r="L1860" s="1"/>
      <c r="M1860" s="1"/>
    </row>
    <row r="1861" spans="10:13" x14ac:dyDescent="0.35">
      <c r="J1861" s="1"/>
      <c r="L1861" s="1"/>
      <c r="M1861" s="1"/>
    </row>
    <row r="1862" spans="10:13" x14ac:dyDescent="0.35">
      <c r="J1862" s="1"/>
      <c r="L1862" s="1"/>
      <c r="M1862" s="1"/>
    </row>
    <row r="1863" spans="10:13" x14ac:dyDescent="0.35">
      <c r="J1863" s="1"/>
      <c r="L1863" s="1"/>
      <c r="M1863" s="1"/>
    </row>
    <row r="1864" spans="10:13" x14ac:dyDescent="0.35">
      <c r="J1864" s="1"/>
      <c r="L1864" s="1"/>
      <c r="M1864" s="1"/>
    </row>
    <row r="1865" spans="10:13" x14ac:dyDescent="0.35">
      <c r="J1865" s="1"/>
      <c r="L1865" s="1"/>
      <c r="M1865" s="1"/>
    </row>
    <row r="1866" spans="10:13" x14ac:dyDescent="0.35">
      <c r="J1866" s="1"/>
      <c r="L1866" s="1"/>
      <c r="M1866" s="1"/>
    </row>
    <row r="1867" spans="10:13" x14ac:dyDescent="0.35">
      <c r="J1867" s="1"/>
      <c r="L1867" s="1"/>
      <c r="M1867" s="1"/>
    </row>
    <row r="1868" spans="10:13" x14ac:dyDescent="0.35">
      <c r="J1868" s="1"/>
      <c r="L1868" s="1"/>
      <c r="M1868" s="1"/>
    </row>
    <row r="1869" spans="10:13" x14ac:dyDescent="0.35">
      <c r="J1869" s="1"/>
      <c r="L1869" s="1"/>
      <c r="M1869" s="1"/>
    </row>
    <row r="1870" spans="10:13" x14ac:dyDescent="0.35">
      <c r="J1870" s="1"/>
      <c r="L1870" s="1"/>
      <c r="M1870" s="1"/>
    </row>
    <row r="1871" spans="10:13" x14ac:dyDescent="0.35">
      <c r="J1871" s="1"/>
      <c r="L1871" s="1"/>
      <c r="M1871" s="1"/>
    </row>
    <row r="1872" spans="10:13" x14ac:dyDescent="0.35">
      <c r="J1872" s="1"/>
      <c r="L1872" s="1"/>
      <c r="M1872" s="1"/>
    </row>
    <row r="1873" spans="10:13" x14ac:dyDescent="0.35">
      <c r="J1873" s="1"/>
      <c r="L1873" s="1"/>
      <c r="M1873" s="1"/>
    </row>
    <row r="1874" spans="10:13" x14ac:dyDescent="0.35">
      <c r="J1874" s="1"/>
      <c r="L1874" s="1"/>
      <c r="M1874" s="1"/>
    </row>
    <row r="1875" spans="10:13" x14ac:dyDescent="0.35">
      <c r="J1875" s="1"/>
      <c r="L1875" s="1"/>
      <c r="M1875" s="1"/>
    </row>
    <row r="1876" spans="10:13" x14ac:dyDescent="0.35">
      <c r="J1876" s="1"/>
      <c r="L1876" s="1"/>
      <c r="M1876" s="1"/>
    </row>
    <row r="1877" spans="10:13" x14ac:dyDescent="0.35">
      <c r="J1877" s="1"/>
      <c r="L1877" s="1"/>
      <c r="M1877" s="1"/>
    </row>
    <row r="1878" spans="10:13" x14ac:dyDescent="0.35">
      <c r="J1878" s="1"/>
      <c r="L1878" s="1"/>
      <c r="M1878" s="1"/>
    </row>
    <row r="1879" spans="10:13" x14ac:dyDescent="0.35">
      <c r="J1879" s="1"/>
      <c r="L1879" s="1"/>
      <c r="M1879" s="1"/>
    </row>
    <row r="1880" spans="10:13" x14ac:dyDescent="0.35">
      <c r="J1880" s="1"/>
      <c r="L1880" s="1"/>
      <c r="M1880" s="1"/>
    </row>
    <row r="1881" spans="10:13" x14ac:dyDescent="0.35">
      <c r="J1881" s="1"/>
      <c r="L1881" s="1"/>
      <c r="M1881" s="1"/>
    </row>
    <row r="1882" spans="10:13" x14ac:dyDescent="0.35">
      <c r="J1882" s="1"/>
      <c r="L1882" s="1"/>
      <c r="M1882" s="1"/>
    </row>
    <row r="1883" spans="10:13" x14ac:dyDescent="0.35">
      <c r="J1883" s="1"/>
      <c r="L1883" s="1"/>
      <c r="M1883" s="1"/>
    </row>
    <row r="1884" spans="10:13" x14ac:dyDescent="0.35">
      <c r="J1884" s="1"/>
      <c r="L1884" s="1"/>
      <c r="M1884" s="1"/>
    </row>
    <row r="1885" spans="10:13" x14ac:dyDescent="0.35">
      <c r="J1885" s="1"/>
      <c r="L1885" s="1"/>
      <c r="M1885" s="1"/>
    </row>
    <row r="1886" spans="10:13" x14ac:dyDescent="0.35">
      <c r="J1886" s="1"/>
      <c r="L1886" s="1"/>
      <c r="M1886" s="1"/>
    </row>
    <row r="1887" spans="10:13" x14ac:dyDescent="0.35">
      <c r="J1887" s="1"/>
      <c r="L1887" s="1"/>
      <c r="M1887" s="1"/>
    </row>
    <row r="1888" spans="10:13" x14ac:dyDescent="0.35">
      <c r="J1888" s="1"/>
      <c r="L1888" s="1"/>
      <c r="M1888" s="1"/>
    </row>
    <row r="1889" spans="10:13" x14ac:dyDescent="0.35">
      <c r="J1889" s="1"/>
      <c r="L1889" s="1"/>
      <c r="M1889" s="1"/>
    </row>
    <row r="1890" spans="10:13" x14ac:dyDescent="0.35">
      <c r="J1890" s="1"/>
      <c r="L1890" s="1"/>
      <c r="M1890" s="1"/>
    </row>
    <row r="1891" spans="10:13" x14ac:dyDescent="0.35">
      <c r="J1891" s="1"/>
      <c r="L1891" s="1"/>
      <c r="M1891" s="1"/>
    </row>
    <row r="1892" spans="10:13" x14ac:dyDescent="0.35">
      <c r="J1892" s="1"/>
      <c r="L1892" s="1"/>
      <c r="M1892" s="1"/>
    </row>
    <row r="1893" spans="10:13" x14ac:dyDescent="0.35">
      <c r="J1893" s="1"/>
      <c r="L1893" s="1"/>
      <c r="M1893" s="1"/>
    </row>
    <row r="1894" spans="10:13" x14ac:dyDescent="0.35">
      <c r="J1894" s="1"/>
      <c r="L1894" s="1"/>
      <c r="M1894" s="1"/>
    </row>
    <row r="1895" spans="10:13" x14ac:dyDescent="0.35">
      <c r="J1895" s="1"/>
      <c r="L1895" s="1"/>
      <c r="M1895" s="1"/>
    </row>
    <row r="1896" spans="10:13" x14ac:dyDescent="0.35">
      <c r="J1896" s="1"/>
      <c r="L1896" s="1"/>
      <c r="M1896" s="1"/>
    </row>
    <row r="1897" spans="10:13" x14ac:dyDescent="0.35">
      <c r="J1897" s="1"/>
      <c r="L1897" s="1"/>
      <c r="M1897" s="1"/>
    </row>
    <row r="1898" spans="10:13" x14ac:dyDescent="0.35">
      <c r="J1898" s="1"/>
      <c r="L1898" s="1"/>
      <c r="M1898" s="1"/>
    </row>
    <row r="1899" spans="10:13" x14ac:dyDescent="0.35">
      <c r="J1899" s="1"/>
      <c r="L1899" s="1"/>
      <c r="M1899" s="1"/>
    </row>
    <row r="1900" spans="10:13" x14ac:dyDescent="0.35">
      <c r="J1900" s="1"/>
      <c r="L1900" s="1"/>
      <c r="M1900" s="1"/>
    </row>
    <row r="1901" spans="10:13" x14ac:dyDescent="0.35">
      <c r="J1901" s="1"/>
      <c r="L1901" s="1"/>
      <c r="M1901" s="1"/>
    </row>
    <row r="1902" spans="10:13" x14ac:dyDescent="0.35">
      <c r="J1902" s="1"/>
      <c r="L1902" s="1"/>
      <c r="M1902" s="1"/>
    </row>
    <row r="1903" spans="10:13" x14ac:dyDescent="0.35">
      <c r="J1903" s="1"/>
      <c r="L1903" s="1"/>
      <c r="M1903" s="1"/>
    </row>
    <row r="1904" spans="10:13" x14ac:dyDescent="0.35">
      <c r="J1904" s="1"/>
      <c r="L1904" s="1"/>
      <c r="M1904" s="1"/>
    </row>
    <row r="1905" spans="10:13" x14ac:dyDescent="0.35">
      <c r="J1905" s="1"/>
      <c r="L1905" s="1"/>
      <c r="M1905" s="1"/>
    </row>
    <row r="1906" spans="10:13" x14ac:dyDescent="0.35">
      <c r="J1906" s="1"/>
      <c r="L1906" s="1"/>
      <c r="M1906" s="1"/>
    </row>
    <row r="1907" spans="10:13" x14ac:dyDescent="0.35">
      <c r="J1907" s="1"/>
      <c r="L1907" s="1"/>
      <c r="M1907" s="1"/>
    </row>
    <row r="1908" spans="10:13" x14ac:dyDescent="0.35">
      <c r="J1908" s="1"/>
      <c r="L1908" s="1"/>
      <c r="M1908" s="1"/>
    </row>
    <row r="1909" spans="10:13" x14ac:dyDescent="0.35">
      <c r="J1909" s="1"/>
      <c r="L1909" s="1"/>
      <c r="M1909" s="1"/>
    </row>
    <row r="1910" spans="10:13" x14ac:dyDescent="0.35">
      <c r="J1910" s="1"/>
      <c r="L1910" s="1"/>
      <c r="M1910" s="1"/>
    </row>
    <row r="1911" spans="10:13" x14ac:dyDescent="0.35">
      <c r="J1911" s="1"/>
      <c r="L1911" s="1"/>
      <c r="M1911" s="1"/>
    </row>
    <row r="1912" spans="10:13" x14ac:dyDescent="0.35">
      <c r="J1912" s="1"/>
      <c r="L1912" s="1"/>
      <c r="M1912" s="1"/>
    </row>
    <row r="1913" spans="10:13" x14ac:dyDescent="0.35">
      <c r="J1913" s="1"/>
      <c r="L1913" s="1"/>
      <c r="M1913" s="1"/>
    </row>
    <row r="1914" spans="10:13" x14ac:dyDescent="0.35">
      <c r="J1914" s="1"/>
      <c r="L1914" s="1"/>
      <c r="M1914" s="1"/>
    </row>
    <row r="1915" spans="10:13" x14ac:dyDescent="0.35">
      <c r="J1915" s="1"/>
      <c r="L1915" s="1"/>
      <c r="M1915" s="1"/>
    </row>
    <row r="1916" spans="10:13" x14ac:dyDescent="0.35">
      <c r="J1916" s="1"/>
      <c r="L1916" s="1"/>
      <c r="M1916" s="1"/>
    </row>
    <row r="1917" spans="10:13" x14ac:dyDescent="0.35">
      <c r="J1917" s="1"/>
      <c r="L1917" s="1"/>
      <c r="M1917" s="1"/>
    </row>
    <row r="1918" spans="10:13" x14ac:dyDescent="0.35">
      <c r="J1918" s="1"/>
      <c r="L1918" s="1"/>
      <c r="M1918" s="1"/>
    </row>
    <row r="1919" spans="10:13" x14ac:dyDescent="0.35">
      <c r="J1919" s="1"/>
      <c r="L1919" s="1"/>
      <c r="M1919" s="1"/>
    </row>
    <row r="1920" spans="10:13" x14ac:dyDescent="0.35">
      <c r="J1920" s="1"/>
      <c r="L1920" s="1"/>
      <c r="M1920" s="1"/>
    </row>
    <row r="1921" spans="10:13" x14ac:dyDescent="0.35">
      <c r="J1921" s="1"/>
      <c r="L1921" s="1"/>
      <c r="M1921" s="1"/>
    </row>
    <row r="1922" spans="10:13" x14ac:dyDescent="0.35">
      <c r="J1922" s="1"/>
      <c r="L1922" s="1"/>
      <c r="M1922" s="1"/>
    </row>
    <row r="1923" spans="10:13" x14ac:dyDescent="0.35">
      <c r="J1923" s="1"/>
      <c r="L1923" s="1"/>
      <c r="M1923" s="1"/>
    </row>
    <row r="1924" spans="10:13" x14ac:dyDescent="0.35">
      <c r="J1924" s="1"/>
      <c r="L1924" s="1"/>
      <c r="M1924" s="1"/>
    </row>
    <row r="1925" spans="10:13" x14ac:dyDescent="0.35">
      <c r="J1925" s="1"/>
      <c r="L1925" s="1"/>
      <c r="M1925" s="1"/>
    </row>
    <row r="1926" spans="10:13" x14ac:dyDescent="0.35">
      <c r="J1926" s="1"/>
      <c r="L1926" s="1"/>
      <c r="M1926" s="1"/>
    </row>
    <row r="1927" spans="10:13" x14ac:dyDescent="0.35">
      <c r="J1927" s="1"/>
      <c r="L1927" s="1"/>
      <c r="M1927" s="1"/>
    </row>
    <row r="1928" spans="10:13" x14ac:dyDescent="0.35">
      <c r="J1928" s="1"/>
      <c r="L1928" s="1"/>
      <c r="M1928" s="1"/>
    </row>
    <row r="1929" spans="10:13" x14ac:dyDescent="0.35">
      <c r="J1929" s="1"/>
      <c r="L1929" s="1"/>
      <c r="M1929" s="1"/>
    </row>
    <row r="1930" spans="10:13" x14ac:dyDescent="0.35">
      <c r="J1930" s="1"/>
      <c r="L1930" s="1"/>
      <c r="M1930" s="1"/>
    </row>
    <row r="1931" spans="10:13" x14ac:dyDescent="0.35">
      <c r="J1931" s="1"/>
      <c r="L1931" s="1"/>
      <c r="M1931" s="1"/>
    </row>
    <row r="1932" spans="10:13" x14ac:dyDescent="0.35">
      <c r="J1932" s="1"/>
      <c r="L1932" s="1"/>
      <c r="M1932" s="1"/>
    </row>
    <row r="1933" spans="10:13" x14ac:dyDescent="0.35">
      <c r="J1933" s="1"/>
      <c r="L1933" s="1"/>
      <c r="M1933" s="1"/>
    </row>
    <row r="1934" spans="10:13" x14ac:dyDescent="0.35">
      <c r="J1934" s="1"/>
      <c r="L1934" s="1"/>
      <c r="M1934" s="1"/>
    </row>
    <row r="1935" spans="10:13" x14ac:dyDescent="0.35">
      <c r="J1935" s="1"/>
      <c r="L1935" s="1"/>
      <c r="M1935" s="1"/>
    </row>
    <row r="1936" spans="10:13" x14ac:dyDescent="0.35">
      <c r="J1936" s="1"/>
      <c r="L1936" s="1"/>
      <c r="M1936" s="1"/>
    </row>
    <row r="1937" spans="10:13" x14ac:dyDescent="0.35">
      <c r="J1937" s="1"/>
      <c r="L1937" s="1"/>
      <c r="M1937" s="1"/>
    </row>
    <row r="1938" spans="10:13" x14ac:dyDescent="0.35">
      <c r="J1938" s="1"/>
      <c r="L1938" s="1"/>
      <c r="M1938" s="1"/>
    </row>
    <row r="1939" spans="10:13" x14ac:dyDescent="0.35">
      <c r="J1939" s="1"/>
      <c r="L1939" s="1"/>
      <c r="M1939" s="1"/>
    </row>
    <row r="1940" spans="10:13" x14ac:dyDescent="0.35">
      <c r="J1940" s="1"/>
      <c r="L1940" s="1"/>
      <c r="M1940" s="1"/>
    </row>
    <row r="1941" spans="10:13" x14ac:dyDescent="0.35">
      <c r="J1941" s="1"/>
      <c r="L1941" s="1"/>
      <c r="M1941" s="1"/>
    </row>
    <row r="1942" spans="10:13" x14ac:dyDescent="0.35">
      <c r="J1942" s="1"/>
      <c r="L1942" s="1"/>
      <c r="M1942" s="1"/>
    </row>
    <row r="1943" spans="10:13" x14ac:dyDescent="0.35">
      <c r="J1943" s="1"/>
      <c r="L1943" s="1"/>
      <c r="M1943" s="1"/>
    </row>
    <row r="1944" spans="10:13" x14ac:dyDescent="0.35">
      <c r="J1944" s="1"/>
      <c r="L1944" s="1"/>
      <c r="M1944" s="1"/>
    </row>
    <row r="1945" spans="10:13" x14ac:dyDescent="0.35">
      <c r="J1945" s="1"/>
      <c r="L1945" s="1"/>
      <c r="M1945" s="1"/>
    </row>
    <row r="1946" spans="10:13" x14ac:dyDescent="0.35">
      <c r="J1946" s="1"/>
      <c r="L1946" s="1"/>
      <c r="M1946" s="1"/>
    </row>
    <row r="1947" spans="10:13" x14ac:dyDescent="0.35">
      <c r="J1947" s="1"/>
      <c r="L1947" s="1"/>
      <c r="M1947" s="1"/>
    </row>
    <row r="1948" spans="10:13" x14ac:dyDescent="0.35">
      <c r="J1948" s="1"/>
      <c r="L1948" s="1"/>
      <c r="M1948" s="1"/>
    </row>
    <row r="1949" spans="10:13" x14ac:dyDescent="0.35">
      <c r="J1949" s="1"/>
      <c r="L1949" s="1"/>
      <c r="M1949" s="1"/>
    </row>
    <row r="1950" spans="10:13" x14ac:dyDescent="0.35">
      <c r="J1950" s="1"/>
      <c r="L1950" s="1"/>
      <c r="M1950" s="1"/>
    </row>
    <row r="1951" spans="10:13" x14ac:dyDescent="0.35">
      <c r="J1951" s="1"/>
      <c r="L1951" s="1"/>
      <c r="M1951" s="1"/>
    </row>
    <row r="1952" spans="10:13" x14ac:dyDescent="0.35">
      <c r="J1952" s="1"/>
      <c r="L1952" s="1"/>
      <c r="M1952" s="1"/>
    </row>
    <row r="1953" spans="10:13" x14ac:dyDescent="0.35">
      <c r="J1953" s="1"/>
      <c r="L1953" s="1"/>
      <c r="M1953" s="1"/>
    </row>
    <row r="1954" spans="10:13" x14ac:dyDescent="0.35">
      <c r="J1954" s="1"/>
      <c r="L1954" s="1"/>
      <c r="M1954" s="1"/>
    </row>
    <row r="1955" spans="10:13" x14ac:dyDescent="0.35">
      <c r="J1955" s="1"/>
      <c r="L1955" s="1"/>
      <c r="M1955" s="1"/>
    </row>
    <row r="1956" spans="10:13" x14ac:dyDescent="0.35">
      <c r="J1956" s="1"/>
      <c r="L1956" s="1"/>
      <c r="M1956" s="1"/>
    </row>
    <row r="1957" spans="10:13" x14ac:dyDescent="0.35">
      <c r="J1957" s="1"/>
      <c r="L1957" s="1"/>
      <c r="M1957" s="1"/>
    </row>
    <row r="1958" spans="10:13" x14ac:dyDescent="0.35">
      <c r="J1958" s="1"/>
      <c r="L1958" s="1"/>
      <c r="M1958" s="1"/>
    </row>
    <row r="1959" spans="10:13" x14ac:dyDescent="0.35">
      <c r="J1959" s="1"/>
      <c r="L1959" s="1"/>
      <c r="M1959" s="1"/>
    </row>
    <row r="1960" spans="10:13" x14ac:dyDescent="0.35">
      <c r="J1960" s="1"/>
      <c r="L1960" s="1"/>
      <c r="M1960" s="1"/>
    </row>
    <row r="1961" spans="10:13" x14ac:dyDescent="0.35">
      <c r="J1961" s="1"/>
      <c r="L1961" s="1"/>
      <c r="M1961" s="1"/>
    </row>
    <row r="1962" spans="10:13" x14ac:dyDescent="0.35">
      <c r="J1962" s="1"/>
      <c r="L1962" s="1"/>
      <c r="M1962" s="1"/>
    </row>
    <row r="1963" spans="10:13" x14ac:dyDescent="0.35">
      <c r="J1963" s="1"/>
      <c r="L1963" s="1"/>
      <c r="M1963" s="1"/>
    </row>
    <row r="1964" spans="10:13" x14ac:dyDescent="0.35">
      <c r="J1964" s="1"/>
      <c r="L1964" s="1"/>
      <c r="M1964" s="1"/>
    </row>
    <row r="1965" spans="10:13" x14ac:dyDescent="0.35">
      <c r="J1965" s="1"/>
      <c r="L1965" s="1"/>
      <c r="M1965" s="1"/>
    </row>
    <row r="1966" spans="10:13" x14ac:dyDescent="0.35">
      <c r="J1966" s="1"/>
      <c r="L1966" s="1"/>
      <c r="M1966" s="1"/>
    </row>
    <row r="1967" spans="10:13" x14ac:dyDescent="0.35">
      <c r="J1967" s="1"/>
      <c r="L1967" s="1"/>
      <c r="M1967" s="1"/>
    </row>
    <row r="1968" spans="10:13" x14ac:dyDescent="0.35">
      <c r="J1968" s="1"/>
      <c r="L1968" s="1"/>
      <c r="M1968" s="1"/>
    </row>
    <row r="1969" spans="10:13" x14ac:dyDescent="0.35">
      <c r="J1969" s="1"/>
      <c r="L1969" s="1"/>
      <c r="M1969" s="1"/>
    </row>
    <row r="1970" spans="10:13" x14ac:dyDescent="0.35">
      <c r="J1970" s="1"/>
      <c r="L1970" s="1"/>
      <c r="M1970" s="1"/>
    </row>
    <row r="1971" spans="10:13" x14ac:dyDescent="0.35">
      <c r="J1971" s="1"/>
      <c r="L1971" s="1"/>
      <c r="M1971" s="1"/>
    </row>
    <row r="1972" spans="10:13" x14ac:dyDescent="0.35">
      <c r="J1972" s="1"/>
      <c r="L1972" s="1"/>
      <c r="M1972" s="1"/>
    </row>
    <row r="1973" spans="10:13" x14ac:dyDescent="0.35">
      <c r="J1973" s="1"/>
      <c r="L1973" s="1"/>
      <c r="M1973" s="1"/>
    </row>
    <row r="1974" spans="10:13" x14ac:dyDescent="0.35">
      <c r="J1974" s="1"/>
      <c r="L1974" s="1"/>
      <c r="M1974" s="1"/>
    </row>
    <row r="1975" spans="10:13" x14ac:dyDescent="0.35">
      <c r="J1975" s="1"/>
      <c r="L1975" s="1"/>
      <c r="M1975" s="1"/>
    </row>
    <row r="1976" spans="10:13" x14ac:dyDescent="0.35">
      <c r="J1976" s="1"/>
      <c r="L1976" s="1"/>
      <c r="M1976" s="1"/>
    </row>
    <row r="1977" spans="10:13" x14ac:dyDescent="0.35">
      <c r="J1977" s="1"/>
      <c r="L1977" s="1"/>
      <c r="M1977" s="1"/>
    </row>
    <row r="1978" spans="10:13" x14ac:dyDescent="0.35">
      <c r="J1978" s="1"/>
      <c r="L1978" s="1"/>
      <c r="M1978" s="1"/>
    </row>
    <row r="1979" spans="10:13" x14ac:dyDescent="0.35">
      <c r="J1979" s="1"/>
      <c r="L1979" s="1"/>
      <c r="M1979" s="1"/>
    </row>
    <row r="1980" spans="10:13" x14ac:dyDescent="0.35">
      <c r="J1980" s="1"/>
      <c r="L1980" s="1"/>
      <c r="M1980" s="1"/>
    </row>
    <row r="1981" spans="10:13" x14ac:dyDescent="0.35">
      <c r="J1981" s="1"/>
      <c r="L1981" s="1"/>
      <c r="M1981" s="1"/>
    </row>
    <row r="1982" spans="10:13" x14ac:dyDescent="0.35">
      <c r="J1982" s="1"/>
      <c r="L1982" s="1"/>
      <c r="M1982" s="1"/>
    </row>
    <row r="1983" spans="10:13" x14ac:dyDescent="0.35">
      <c r="J1983" s="1"/>
      <c r="L1983" s="1"/>
      <c r="M1983" s="1"/>
    </row>
    <row r="1984" spans="10:13" x14ac:dyDescent="0.35">
      <c r="J1984" s="1"/>
      <c r="L1984" s="1"/>
      <c r="M1984" s="1"/>
    </row>
    <row r="1985" spans="10:13" x14ac:dyDescent="0.35">
      <c r="J1985" s="1"/>
      <c r="L1985" s="1"/>
      <c r="M1985" s="1"/>
    </row>
    <row r="1986" spans="10:13" x14ac:dyDescent="0.35">
      <c r="J1986" s="1"/>
      <c r="L1986" s="1"/>
      <c r="M1986" s="1"/>
    </row>
    <row r="1987" spans="10:13" x14ac:dyDescent="0.35">
      <c r="J1987" s="1"/>
      <c r="L1987" s="1"/>
      <c r="M1987" s="1"/>
    </row>
    <row r="1988" spans="10:13" x14ac:dyDescent="0.35">
      <c r="J1988" s="1"/>
      <c r="L1988" s="1"/>
      <c r="M1988" s="1"/>
    </row>
    <row r="1989" spans="10:13" x14ac:dyDescent="0.35">
      <c r="J1989" s="1"/>
      <c r="L1989" s="1"/>
      <c r="M1989" s="1"/>
    </row>
    <row r="1990" spans="10:13" x14ac:dyDescent="0.35">
      <c r="J1990" s="1"/>
      <c r="L1990" s="1"/>
      <c r="M1990" s="1"/>
    </row>
    <row r="1991" spans="10:13" x14ac:dyDescent="0.35">
      <c r="J1991" s="1"/>
      <c r="L1991" s="1"/>
      <c r="M1991" s="1"/>
    </row>
    <row r="1992" spans="10:13" x14ac:dyDescent="0.35">
      <c r="J1992" s="1"/>
      <c r="L1992" s="1"/>
      <c r="M1992" s="1"/>
    </row>
    <row r="1993" spans="10:13" x14ac:dyDescent="0.35">
      <c r="J1993" s="1"/>
      <c r="L1993" s="1"/>
      <c r="M1993" s="1"/>
    </row>
    <row r="1994" spans="10:13" x14ac:dyDescent="0.35">
      <c r="J1994" s="1"/>
      <c r="L1994" s="1"/>
      <c r="M1994" s="1"/>
    </row>
    <row r="1995" spans="10:13" x14ac:dyDescent="0.35">
      <c r="J1995" s="1"/>
      <c r="L1995" s="1"/>
      <c r="M1995" s="1"/>
    </row>
    <row r="1996" spans="10:13" x14ac:dyDescent="0.35">
      <c r="J1996" s="1"/>
      <c r="L1996" s="1"/>
      <c r="M1996" s="1"/>
    </row>
    <row r="1997" spans="10:13" x14ac:dyDescent="0.35">
      <c r="J1997" s="1"/>
      <c r="L1997" s="1"/>
      <c r="M1997" s="1"/>
    </row>
    <row r="1998" spans="10:13" x14ac:dyDescent="0.35">
      <c r="J1998" s="1"/>
      <c r="L1998" s="1"/>
      <c r="M1998" s="1"/>
    </row>
    <row r="1999" spans="10:13" x14ac:dyDescent="0.35">
      <c r="J1999" s="1"/>
      <c r="L1999" s="1"/>
      <c r="M1999" s="1"/>
    </row>
    <row r="2000" spans="10:13" x14ac:dyDescent="0.35">
      <c r="J2000" s="1"/>
      <c r="L2000" s="1"/>
      <c r="M2000" s="1"/>
    </row>
    <row r="2001" spans="10:13" x14ac:dyDescent="0.35">
      <c r="J2001" s="1"/>
      <c r="L2001" s="1"/>
      <c r="M200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FE804-B434-4B23-AC78-51E31E92DD6F}">
  <dimension ref="A1:G20"/>
  <sheetViews>
    <sheetView zoomScaleNormal="100" workbookViewId="0">
      <selection activeCell="E3" sqref="E3"/>
    </sheetView>
  </sheetViews>
  <sheetFormatPr defaultRowHeight="14.5" x14ac:dyDescent="0.35"/>
  <cols>
    <col min="1" max="1" width="10.36328125" bestFit="1" customWidth="1"/>
    <col min="2" max="2" width="23.08984375" bestFit="1" customWidth="1"/>
    <col min="3" max="3" width="23.453125" bestFit="1" customWidth="1"/>
    <col min="4" max="4" width="11.36328125" bestFit="1" customWidth="1"/>
    <col min="5" max="5" width="19.81640625" bestFit="1" customWidth="1"/>
    <col min="6" max="6" width="12.453125" bestFit="1" customWidth="1"/>
    <col min="7" max="7" width="5.26953125" bestFit="1" customWidth="1"/>
    <col min="9" max="9" width="12.453125" bestFit="1" customWidth="1"/>
    <col min="10" max="10" width="17.7265625" bestFit="1" customWidth="1"/>
    <col min="11" max="11" width="13.453125" bestFit="1" customWidth="1"/>
  </cols>
  <sheetData>
    <row r="1" spans="1:7" x14ac:dyDescent="0.35">
      <c r="B1" s="31" t="s">
        <v>96</v>
      </c>
      <c r="C1" s="31"/>
      <c r="D1" s="31"/>
      <c r="E1" s="31"/>
    </row>
    <row r="2" spans="1:7" x14ac:dyDescent="0.35">
      <c r="B2" s="30" t="s">
        <v>64</v>
      </c>
      <c r="C2" s="30" t="s">
        <v>72</v>
      </c>
      <c r="D2" s="30" t="s">
        <v>98</v>
      </c>
      <c r="E2" s="30" t="s">
        <v>68</v>
      </c>
    </row>
    <row r="3" spans="1:7" x14ac:dyDescent="0.35">
      <c r="B3" s="26">
        <v>461947.92744299397</v>
      </c>
      <c r="C3" s="27">
        <v>1.4690000000000001</v>
      </c>
      <c r="D3" s="28" t="str">
        <f>PIVOTS!D24</f>
        <v>Nova</v>
      </c>
      <c r="E3" s="29" t="str">
        <f>PIVOTS!D2</f>
        <v>Prime</v>
      </c>
    </row>
    <row r="7" spans="1:7" x14ac:dyDescent="0.35">
      <c r="A7" s="32" t="s">
        <v>97</v>
      </c>
      <c r="B7" s="33"/>
      <c r="C7" s="33"/>
      <c r="D7" s="33"/>
      <c r="E7" s="33"/>
      <c r="F7" s="33"/>
      <c r="G7" s="34"/>
    </row>
    <row r="9" spans="1:7" x14ac:dyDescent="0.35">
      <c r="A9" s="2" t="s">
        <v>110</v>
      </c>
      <c r="B9" t="s">
        <v>65</v>
      </c>
      <c r="D9" s="2" t="s">
        <v>110</v>
      </c>
      <c r="E9" t="s">
        <v>109</v>
      </c>
      <c r="G9" s="13" t="str">
        <f>IF(G10=1,G10&amp; " Day",G10 &amp; " Days")</f>
        <v>1 Day</v>
      </c>
    </row>
    <row r="10" spans="1:7" x14ac:dyDescent="0.35">
      <c r="A10" s="3" t="s">
        <v>106</v>
      </c>
      <c r="B10">
        <v>4538.938359443935</v>
      </c>
      <c r="D10" s="3" t="s">
        <v>106</v>
      </c>
      <c r="E10">
        <v>50.331900954485619</v>
      </c>
      <c r="G10" s="4">
        <f>ROUND(GETPIVOTDATA("Delivery Delay",$C$2),0)</f>
        <v>1</v>
      </c>
    </row>
    <row r="11" spans="1:7" x14ac:dyDescent="0.35">
      <c r="A11" s="3" t="s">
        <v>108</v>
      </c>
      <c r="B11">
        <v>4325.5045679165623</v>
      </c>
      <c r="D11" s="3" t="s">
        <v>104</v>
      </c>
      <c r="E11">
        <v>45.215504502289569</v>
      </c>
    </row>
    <row r="12" spans="1:7" x14ac:dyDescent="0.35">
      <c r="A12" s="3" t="s">
        <v>105</v>
      </c>
      <c r="B12">
        <v>4190.114423997401</v>
      </c>
      <c r="D12" s="3" t="s">
        <v>108</v>
      </c>
      <c r="E12">
        <v>44.683555542520551</v>
      </c>
    </row>
    <row r="13" spans="1:7" x14ac:dyDescent="0.35">
      <c r="A13" s="3" t="s">
        <v>103</v>
      </c>
      <c r="B13">
        <v>4061.0049378244335</v>
      </c>
      <c r="D13" s="3" t="s">
        <v>105</v>
      </c>
      <c r="E13">
        <v>42.061533832830499</v>
      </c>
    </row>
    <row r="14" spans="1:7" x14ac:dyDescent="0.35">
      <c r="A14" s="3" t="s">
        <v>104</v>
      </c>
      <c r="B14">
        <v>4054.5967587491518</v>
      </c>
      <c r="D14" s="3" t="s">
        <v>99</v>
      </c>
      <c r="E14">
        <v>41.748374076103211</v>
      </c>
    </row>
    <row r="15" spans="1:7" x14ac:dyDescent="0.35">
      <c r="A15" s="3" t="s">
        <v>99</v>
      </c>
      <c r="B15">
        <v>3889.8725948361994</v>
      </c>
      <c r="D15" s="3" t="s">
        <v>103</v>
      </c>
      <c r="E15">
        <v>39.878713997703599</v>
      </c>
    </row>
    <row r="16" spans="1:7" x14ac:dyDescent="0.35">
      <c r="A16" s="3" t="s">
        <v>102</v>
      </c>
      <c r="B16">
        <v>3449.7029528329354</v>
      </c>
      <c r="D16" s="3" t="s">
        <v>102</v>
      </c>
      <c r="E16">
        <v>33.018645962665296</v>
      </c>
    </row>
    <row r="17" spans="1:5" x14ac:dyDescent="0.35">
      <c r="A17" s="3" t="s">
        <v>101</v>
      </c>
      <c r="B17">
        <v>2763.7699892462797</v>
      </c>
      <c r="D17" s="3" t="s">
        <v>101</v>
      </c>
      <c r="E17">
        <v>27.960710711012286</v>
      </c>
    </row>
    <row r="18" spans="1:5" x14ac:dyDescent="0.35">
      <c r="A18" s="3" t="s">
        <v>107</v>
      </c>
      <c r="B18">
        <v>2336.1175283496677</v>
      </c>
      <c r="D18" s="3" t="s">
        <v>100</v>
      </c>
      <c r="E18">
        <v>27.334420011531328</v>
      </c>
    </row>
    <row r="19" spans="1:5" x14ac:dyDescent="0.35">
      <c r="A19" s="3" t="s">
        <v>100</v>
      </c>
      <c r="B19">
        <v>2314.0454365038336</v>
      </c>
      <c r="D19" s="3" t="s">
        <v>107</v>
      </c>
      <c r="E19">
        <v>22.602460869237365</v>
      </c>
    </row>
    <row r="20" spans="1:5" x14ac:dyDescent="0.35">
      <c r="A20" s="3" t="s">
        <v>67</v>
      </c>
      <c r="B20">
        <v>35923.667549700403</v>
      </c>
      <c r="D20" s="3" t="s">
        <v>67</v>
      </c>
      <c r="E20">
        <v>374.83582046037924</v>
      </c>
    </row>
  </sheetData>
  <mergeCells count="2">
    <mergeCell ref="B1:E1"/>
    <mergeCell ref="A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0788-FBE2-49BB-ADD9-A79FBB33C6F3}">
  <dimension ref="A1:J38"/>
  <sheetViews>
    <sheetView topLeftCell="I4" zoomScaleNormal="100" workbookViewId="0">
      <selection activeCell="G18" sqref="G18"/>
    </sheetView>
  </sheetViews>
  <sheetFormatPr defaultRowHeight="14.5" x14ac:dyDescent="0.35"/>
  <cols>
    <col min="1" max="1" width="16" bestFit="1" customWidth="1"/>
    <col min="2" max="2" width="29.7265625" bestFit="1" customWidth="1"/>
    <col min="3" max="3" width="17.453125" bestFit="1" customWidth="1"/>
    <col min="4" max="4" width="10.36328125" bestFit="1" customWidth="1"/>
    <col min="5" max="6" width="20.90625" bestFit="1" customWidth="1"/>
    <col min="7" max="7" width="30.26953125" bestFit="1" customWidth="1"/>
    <col min="8" max="8" width="28.26953125" style="9" bestFit="1" customWidth="1"/>
    <col min="9" max="9" width="21.1796875" bestFit="1" customWidth="1"/>
    <col min="10" max="10" width="33" style="9" bestFit="1" customWidth="1"/>
    <col min="11" max="11" width="21.1796875" bestFit="1" customWidth="1"/>
  </cols>
  <sheetData>
    <row r="1" spans="1:10" x14ac:dyDescent="0.35">
      <c r="A1" s="2" t="s">
        <v>66</v>
      </c>
      <c r="B1" t="s">
        <v>69</v>
      </c>
      <c r="D1" s="10" t="s">
        <v>66</v>
      </c>
      <c r="E1" s="5" t="s">
        <v>111</v>
      </c>
    </row>
    <row r="2" spans="1:10" x14ac:dyDescent="0.35">
      <c r="A2" s="3" t="s">
        <v>106</v>
      </c>
      <c r="B2">
        <v>59906.892687851592</v>
      </c>
      <c r="D2" s="11" t="s">
        <v>106</v>
      </c>
      <c r="E2" s="5">
        <v>0.41596612359079022</v>
      </c>
      <c r="G2" s="14"/>
      <c r="H2"/>
    </row>
    <row r="3" spans="1:10" x14ac:dyDescent="0.35">
      <c r="A3" s="3" t="s">
        <v>108</v>
      </c>
      <c r="B3">
        <v>58095.331546089314</v>
      </c>
      <c r="D3" s="11" t="s">
        <v>100</v>
      </c>
      <c r="E3" s="5">
        <v>0.41415787896259587</v>
      </c>
      <c r="H3"/>
      <c r="J3"/>
    </row>
    <row r="4" spans="1:10" x14ac:dyDescent="0.35">
      <c r="A4" s="3" t="s">
        <v>105</v>
      </c>
      <c r="B4">
        <v>54009.858370620022</v>
      </c>
      <c r="D4" s="11" t="s">
        <v>99</v>
      </c>
      <c r="E4" s="5">
        <v>0.40532402015634184</v>
      </c>
      <c r="H4"/>
      <c r="J4"/>
    </row>
    <row r="5" spans="1:10" x14ac:dyDescent="0.35">
      <c r="A5" s="3" t="s">
        <v>103</v>
      </c>
      <c r="B5">
        <v>51984.1109652866</v>
      </c>
      <c r="D5" s="11" t="s">
        <v>104</v>
      </c>
      <c r="E5" s="5">
        <v>0.40370986162758543</v>
      </c>
      <c r="H5"/>
      <c r="J5"/>
    </row>
    <row r="6" spans="1:10" x14ac:dyDescent="0.35">
      <c r="A6" s="3" t="s">
        <v>104</v>
      </c>
      <c r="B6">
        <v>49619.85299591464</v>
      </c>
      <c r="D6" s="11" t="s">
        <v>108</v>
      </c>
      <c r="E6" s="5">
        <v>0.37236296285433795</v>
      </c>
      <c r="H6"/>
      <c r="J6"/>
    </row>
    <row r="7" spans="1:10" x14ac:dyDescent="0.35">
      <c r="A7" s="3" t="s">
        <v>102</v>
      </c>
      <c r="B7">
        <v>47552.05613331229</v>
      </c>
      <c r="D7" s="11" t="s">
        <v>101</v>
      </c>
      <c r="E7" s="5">
        <v>0.36790408830279325</v>
      </c>
      <c r="J7"/>
    </row>
    <row r="8" spans="1:10" x14ac:dyDescent="0.35">
      <c r="A8" s="3" t="s">
        <v>99</v>
      </c>
      <c r="B8">
        <v>47268.968429421984</v>
      </c>
      <c r="D8" s="11" t="s">
        <v>103</v>
      </c>
      <c r="E8" s="5">
        <v>0.35605994640806787</v>
      </c>
      <c r="J8" s="35" t="s">
        <v>88</v>
      </c>
    </row>
    <row r="9" spans="1:10" ht="15" thickBot="1" x14ac:dyDescent="0.4">
      <c r="A9" s="3" t="s">
        <v>101</v>
      </c>
      <c r="B9">
        <v>33209.590332317784</v>
      </c>
      <c r="D9" s="11" t="s">
        <v>105</v>
      </c>
      <c r="E9" s="5">
        <v>0.34761598208950828</v>
      </c>
      <c r="J9"/>
    </row>
    <row r="10" spans="1:10" ht="15" thickBot="1" x14ac:dyDescent="0.4">
      <c r="A10" s="3" t="s">
        <v>100</v>
      </c>
      <c r="B10">
        <v>30758.704591046418</v>
      </c>
      <c r="D10" s="11" t="s">
        <v>107</v>
      </c>
      <c r="E10" s="5">
        <v>0.34246152832177829</v>
      </c>
      <c r="J10" s="22" t="str">
        <f>INDEX(PIVOTS!E28:E37, MATCH(MAX(PIVOTS!F28:F37),PIVOTS!F28:F37, 0))</f>
        <v>Nova</v>
      </c>
    </row>
    <row r="11" spans="1:10" ht="15" thickBot="1" x14ac:dyDescent="0.4">
      <c r="A11" s="3" t="s">
        <v>107</v>
      </c>
      <c r="B11">
        <v>29542.561391133553</v>
      </c>
      <c r="D11" s="11" t="s">
        <v>102</v>
      </c>
      <c r="E11" s="5">
        <v>0.32056937827830384</v>
      </c>
      <c r="J11" s="22" t="str">
        <f>INDEX(PIVOTS!E28:E37, MATCH(MIN(PIVOTS!F28:F37),PIVOTS!F28:F37, 0))</f>
        <v>Vertex</v>
      </c>
    </row>
    <row r="12" spans="1:10" ht="15" thickBot="1" x14ac:dyDescent="0.4">
      <c r="A12" s="3" t="s">
        <v>67</v>
      </c>
      <c r="B12">
        <v>461947.9274429942</v>
      </c>
      <c r="D12" s="11" t="s">
        <v>67</v>
      </c>
      <c r="E12" s="5">
        <v>0.37483582046037955</v>
      </c>
      <c r="H12"/>
      <c r="J12"/>
    </row>
    <row r="13" spans="1:10" ht="15" thickBot="1" x14ac:dyDescent="0.4">
      <c r="H13"/>
      <c r="J13" s="22" t="str">
        <f>"Best Vendor: " &amp; J10</f>
        <v>Best Vendor: Nova</v>
      </c>
    </row>
    <row r="14" spans="1:10" ht="15" thickBot="1" x14ac:dyDescent="0.4">
      <c r="A14" s="2" t="s">
        <v>66</v>
      </c>
      <c r="B14" t="s">
        <v>70</v>
      </c>
      <c r="D14" s="2" t="s">
        <v>66</v>
      </c>
      <c r="E14" s="5" t="s">
        <v>71</v>
      </c>
      <c r="H14"/>
      <c r="J14" s="22" t="str">
        <f>"Attention: " &amp; J11 &amp; " is underperforming"</f>
        <v>Attention: Vertex is underperforming</v>
      </c>
    </row>
    <row r="15" spans="1:10" x14ac:dyDescent="0.35">
      <c r="A15" s="3" t="s">
        <v>102</v>
      </c>
      <c r="B15" s="5">
        <v>0.78854368932038821</v>
      </c>
      <c r="D15" s="3" t="s">
        <v>102</v>
      </c>
      <c r="E15" s="15">
        <v>33.492261677989667</v>
      </c>
    </row>
    <row r="16" spans="1:10" ht="15" thickBot="1" x14ac:dyDescent="0.4">
      <c r="A16" s="3" t="s">
        <v>107</v>
      </c>
      <c r="B16" s="5">
        <v>0.79530303030303007</v>
      </c>
      <c r="D16" s="3" t="s">
        <v>105</v>
      </c>
      <c r="E16" s="15">
        <v>34.629044826424803</v>
      </c>
    </row>
    <row r="17" spans="1:10" ht="15" thickBot="1" x14ac:dyDescent="0.4">
      <c r="A17" s="3" t="s">
        <v>101</v>
      </c>
      <c r="B17" s="5">
        <v>0.79592105263157864</v>
      </c>
      <c r="D17" s="3" t="s">
        <v>100</v>
      </c>
      <c r="E17" s="15">
        <v>35.061294492482325</v>
      </c>
      <c r="H17"/>
      <c r="J17" s="18" t="s">
        <v>83</v>
      </c>
    </row>
    <row r="18" spans="1:10" ht="15" thickBot="1" x14ac:dyDescent="0.4">
      <c r="A18" s="3" t="s">
        <v>108</v>
      </c>
      <c r="B18" s="5">
        <v>0.79949999999999977</v>
      </c>
      <c r="D18" s="3" t="s">
        <v>107</v>
      </c>
      <c r="E18" s="15">
        <v>35.39572012651012</v>
      </c>
      <c r="J18" s="24"/>
    </row>
    <row r="19" spans="1:10" x14ac:dyDescent="0.35">
      <c r="A19" s="3" t="s">
        <v>104</v>
      </c>
      <c r="B19" s="5">
        <v>0.80151785714285684</v>
      </c>
      <c r="D19" s="3" t="s">
        <v>108</v>
      </c>
      <c r="E19" s="15">
        <v>36.045871399304687</v>
      </c>
      <c r="J19" s="19" t="str">
        <f xml:space="preserve"> "✅" &amp; J13</f>
        <v>✅Best Vendor: Nova</v>
      </c>
    </row>
    <row r="20" spans="1:10" x14ac:dyDescent="0.35">
      <c r="A20" s="3" t="s">
        <v>105</v>
      </c>
      <c r="B20" s="5">
        <v>0.80214876033057825</v>
      </c>
      <c r="D20" s="3" t="s">
        <v>104</v>
      </c>
      <c r="E20" s="15">
        <v>36.201756774545998</v>
      </c>
      <c r="H20" s="23"/>
      <c r="J20" s="20" t="s">
        <v>84</v>
      </c>
    </row>
    <row r="21" spans="1:10" x14ac:dyDescent="0.35">
      <c r="A21" s="3" t="s">
        <v>99</v>
      </c>
      <c r="B21" s="5">
        <v>0.80330097087378638</v>
      </c>
      <c r="D21" s="3" t="s">
        <v>103</v>
      </c>
      <c r="E21" s="15">
        <v>36.258972659146728</v>
      </c>
      <c r="H21" s="23"/>
      <c r="J21" s="20" t="str">
        <f>"⚠️" &amp; J14</f>
        <v>⚠️Attention: Vertex is underperforming</v>
      </c>
    </row>
    <row r="22" spans="1:10" ht="15" thickBot="1" x14ac:dyDescent="0.4">
      <c r="A22" s="3" t="s">
        <v>106</v>
      </c>
      <c r="B22" s="5">
        <v>0.80413223140495871</v>
      </c>
      <c r="D22" s="3" t="s">
        <v>101</v>
      </c>
      <c r="E22" s="15">
        <v>36.365394595345784</v>
      </c>
      <c r="H22" s="23"/>
      <c r="J22" s="21" t="s">
        <v>85</v>
      </c>
    </row>
    <row r="23" spans="1:10" x14ac:dyDescent="0.35">
      <c r="A23" s="3" t="s">
        <v>103</v>
      </c>
      <c r="B23" s="5">
        <v>0.80678571428571433</v>
      </c>
      <c r="D23" s="3" t="s">
        <v>106</v>
      </c>
      <c r="E23" s="15">
        <v>37.511887268131694</v>
      </c>
      <c r="H23"/>
    </row>
    <row r="24" spans="1:10" x14ac:dyDescent="0.35">
      <c r="A24" s="3" t="s">
        <v>100</v>
      </c>
      <c r="B24" s="5">
        <v>0.80803030303030299</v>
      </c>
      <c r="D24" s="3" t="s">
        <v>99</v>
      </c>
      <c r="E24" s="15">
        <v>37.765753347924267</v>
      </c>
      <c r="H24"/>
    </row>
    <row r="25" spans="1:10" x14ac:dyDescent="0.35">
      <c r="A25" s="3" t="s">
        <v>67</v>
      </c>
      <c r="B25" s="5">
        <v>0.80070000000000308</v>
      </c>
      <c r="D25" s="3" t="s">
        <v>67</v>
      </c>
      <c r="E25" s="15">
        <v>35.923667549700454</v>
      </c>
    </row>
    <row r="26" spans="1:10" x14ac:dyDescent="0.35">
      <c r="H26"/>
    </row>
    <row r="27" spans="1:10" x14ac:dyDescent="0.35">
      <c r="A27" t="s">
        <v>0</v>
      </c>
      <c r="B27" t="s">
        <v>86</v>
      </c>
      <c r="C27" s="9" t="s">
        <v>87</v>
      </c>
      <c r="E27" s="2" t="s">
        <v>66</v>
      </c>
      <c r="F27" t="s">
        <v>71</v>
      </c>
      <c r="H27"/>
    </row>
    <row r="28" spans="1:10" x14ac:dyDescent="0.35">
      <c r="A28" t="s">
        <v>102</v>
      </c>
      <c r="B28">
        <f>AVERAGEIF(Table1[Vendor Name],A28, Table1[Total_Cost])</f>
        <v>461.67044789623583</v>
      </c>
      <c r="C28" s="9">
        <f>AVERAGEIF(Table1[Vendor Name],A28, Table1[On_Time_Delivery_Rate])</f>
        <v>0.78854368932038821</v>
      </c>
      <c r="E28" s="3" t="s">
        <v>102</v>
      </c>
      <c r="F28">
        <v>33.492261677989667</v>
      </c>
      <c r="H28"/>
    </row>
    <row r="29" spans="1:10" x14ac:dyDescent="0.35">
      <c r="A29" t="s">
        <v>107</v>
      </c>
      <c r="B29">
        <f>AVERAGEIF(Table1[Vendor Name],A29, Table1[Total_Cost])</f>
        <v>447.61456653232653</v>
      </c>
      <c r="C29" s="9">
        <f>AVERAGEIF(Table1[Vendor Name],A29, Table1[On_Time_Delivery_Rate])</f>
        <v>0.79530303030303007</v>
      </c>
      <c r="E29" s="3" t="s">
        <v>105</v>
      </c>
      <c r="F29">
        <v>34.629044826424803</v>
      </c>
      <c r="H29"/>
    </row>
    <row r="30" spans="1:10" x14ac:dyDescent="0.35">
      <c r="A30" t="s">
        <v>101</v>
      </c>
      <c r="B30">
        <f>AVERAGEIF(Table1[Vendor Name],A30, Table1[Total_Cost])</f>
        <v>436.96829384628666</v>
      </c>
      <c r="C30" s="9">
        <f>AVERAGEIF(Table1[Vendor Name],A30, Table1[On_Time_Delivery_Rate])</f>
        <v>0.79592105263157864</v>
      </c>
      <c r="E30" s="3" t="s">
        <v>100</v>
      </c>
      <c r="F30">
        <v>35.061294492482325</v>
      </c>
      <c r="H30"/>
    </row>
    <row r="31" spans="1:10" x14ac:dyDescent="0.35">
      <c r="A31" t="s">
        <v>108</v>
      </c>
      <c r="B31">
        <f>AVERAGEIF(Table1[Vendor Name],A31, Table1[Total_Cost])</f>
        <v>484.12776288407764</v>
      </c>
      <c r="C31" s="9">
        <f>AVERAGEIF(Table1[Vendor Name],A31, Table1[On_Time_Delivery_Rate])</f>
        <v>0.79949999999999977</v>
      </c>
      <c r="E31" s="3" t="s">
        <v>107</v>
      </c>
      <c r="F31">
        <v>35.39572012651012</v>
      </c>
      <c r="H31"/>
    </row>
    <row r="32" spans="1:10" x14ac:dyDescent="0.35">
      <c r="A32" t="s">
        <v>104</v>
      </c>
      <c r="B32">
        <f>AVERAGEIF(Table1[Vendor Name],A32, Table1[Total_Cost])</f>
        <v>443.03440174923787</v>
      </c>
      <c r="C32" s="9">
        <f>AVERAGEIF(Table1[Vendor Name],A32, Table1[On_Time_Delivery_Rate])</f>
        <v>0.80151785714285684</v>
      </c>
      <c r="E32" s="3" t="s">
        <v>108</v>
      </c>
      <c r="F32">
        <v>36.045871399304687</v>
      </c>
      <c r="H32"/>
    </row>
    <row r="33" spans="1:8" x14ac:dyDescent="0.35">
      <c r="A33" t="s">
        <v>105</v>
      </c>
      <c r="B33">
        <f>AVERAGEIF(Table1[Vendor Name],A33, Table1[Total_Cost])</f>
        <v>446.36246587289276</v>
      </c>
      <c r="C33" s="9">
        <f>AVERAGEIF(Table1[Vendor Name],A33, Table1[On_Time_Delivery_Rate])</f>
        <v>0.80214876033057825</v>
      </c>
      <c r="E33" s="3" t="s">
        <v>104</v>
      </c>
      <c r="F33">
        <v>36.201756774545998</v>
      </c>
      <c r="H33"/>
    </row>
    <row r="34" spans="1:8" x14ac:dyDescent="0.35">
      <c r="A34" t="s">
        <v>99</v>
      </c>
      <c r="B34">
        <f>AVERAGEIF(Table1[Vendor Name],A34, Table1[Total_Cost])</f>
        <v>458.92202358662121</v>
      </c>
      <c r="C34" s="9">
        <f>AVERAGEIF(Table1[Vendor Name],A34, Table1[On_Time_Delivery_Rate])</f>
        <v>0.80330097087378638</v>
      </c>
      <c r="E34" s="3" t="s">
        <v>103</v>
      </c>
      <c r="F34">
        <v>36.258972659146728</v>
      </c>
      <c r="H34"/>
    </row>
    <row r="35" spans="1:8" x14ac:dyDescent="0.35">
      <c r="A35" t="s">
        <v>106</v>
      </c>
      <c r="B35">
        <f>AVERAGEIF(Table1[Vendor Name],A35, Table1[Total_Cost])</f>
        <v>495.09828667645945</v>
      </c>
      <c r="C35" s="9">
        <f>AVERAGEIF(Table1[Vendor Name],A35, Table1[On_Time_Delivery_Rate])</f>
        <v>0.80413223140495871</v>
      </c>
      <c r="E35" s="3" t="s">
        <v>101</v>
      </c>
      <c r="F35">
        <v>36.365394595345784</v>
      </c>
    </row>
    <row r="36" spans="1:8" x14ac:dyDescent="0.35">
      <c r="A36" t="s">
        <v>103</v>
      </c>
      <c r="B36">
        <f>AVERAGEIF(Table1[Vendor Name],A36, Table1[Total_Cost])</f>
        <v>464.14384790434463</v>
      </c>
      <c r="C36" s="9">
        <f>AVERAGEIF(Table1[Vendor Name],A36, Table1[On_Time_Delivery_Rate])</f>
        <v>0.80678571428571433</v>
      </c>
      <c r="E36" s="3" t="s">
        <v>106</v>
      </c>
      <c r="F36">
        <v>37.511887268131694</v>
      </c>
    </row>
    <row r="37" spans="1:8" x14ac:dyDescent="0.35">
      <c r="A37" t="s">
        <v>100</v>
      </c>
      <c r="B37">
        <f>AVERAGEIF(Table1[Vendor Name],A37, Table1[Total_Cost])</f>
        <v>466.04097865221848</v>
      </c>
      <c r="C37" s="9">
        <f>AVERAGEIF(Table1[Vendor Name],A37, Table1[On_Time_Delivery_Rate])</f>
        <v>0.80803030303030299</v>
      </c>
      <c r="E37" s="3" t="s">
        <v>99</v>
      </c>
      <c r="F37">
        <v>37.765753347924267</v>
      </c>
    </row>
    <row r="38" spans="1:8" x14ac:dyDescent="0.35">
      <c r="E38" s="3" t="s">
        <v>67</v>
      </c>
      <c r="F38">
        <v>35.923667549700454</v>
      </c>
    </row>
  </sheetData>
  <pageMargins left="0.7" right="0.7" top="0.75" bottom="0.75" header="0.3" footer="0.3"/>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47BFA-DC1A-4B90-B8FA-359B9788407A}">
  <dimension ref="T21"/>
  <sheetViews>
    <sheetView tabSelected="1" zoomScale="98" zoomScaleNormal="100" workbookViewId="0">
      <selection activeCell="W20" sqref="W20"/>
    </sheetView>
  </sheetViews>
  <sheetFormatPr defaultRowHeight="14.5" x14ac:dyDescent="0.35"/>
  <cols>
    <col min="23" max="23" width="22.453125" bestFit="1" customWidth="1"/>
  </cols>
  <sheetData>
    <row r="21" spans="20:20" x14ac:dyDescent="0.35">
      <c r="T21"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0432962864B5E41B24EE35C01D14074" ma:contentTypeVersion="9" ma:contentTypeDescription="Create a new document." ma:contentTypeScope="" ma:versionID="91db8d8e63dd8c710212a58e863b32e9">
  <xsd:schema xmlns:xsd="http://www.w3.org/2001/XMLSchema" xmlns:xs="http://www.w3.org/2001/XMLSchema" xmlns:p="http://schemas.microsoft.com/office/2006/metadata/properties" xmlns:ns3="1745e9d0-5f84-461f-a69d-952aaf131c1e" targetNamespace="http://schemas.microsoft.com/office/2006/metadata/properties" ma:root="true" ma:fieldsID="7438c8b735e6e9035e43caa9d1a29d12" ns3:_="">
    <xsd:import namespace="1745e9d0-5f84-461f-a69d-952aaf131c1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45e9d0-5f84-461f-a69d-952aaf131c1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8A4028-563F-4F5C-AFBE-B8AAA8768DE8}">
  <ds:schemaRefs>
    <ds:schemaRef ds:uri="http://schemas.microsoft.com/sharepoint/v3/contenttype/forms"/>
  </ds:schemaRefs>
</ds:datastoreItem>
</file>

<file path=customXml/itemProps2.xml><?xml version="1.0" encoding="utf-8"?>
<ds:datastoreItem xmlns:ds="http://schemas.openxmlformats.org/officeDocument/2006/customXml" ds:itemID="{9DA7EF73-13DE-4284-998B-FAD2FE1E8FDD}">
  <ds:schemaRefs>
    <ds:schemaRef ds:uri="http://schemas.microsoft.com/office/2006/metadata/properties"/>
    <ds:schemaRef ds:uri="1745e9d0-5f84-461f-a69d-952aaf131c1e"/>
    <ds:schemaRef ds:uri="http://purl.org/dc/elements/1.1/"/>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purl.org/dc/terms/"/>
  </ds:schemaRefs>
</ds:datastoreItem>
</file>

<file path=customXml/itemProps3.xml><?xml version="1.0" encoding="utf-8"?>
<ds:datastoreItem xmlns:ds="http://schemas.openxmlformats.org/officeDocument/2006/customXml" ds:itemID="{18CC8A74-2A10-4DE4-B30F-6232381604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45e9d0-5f84-461f-a69d-952aaf131c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KPI CARDS</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Eren Yeager</dc:creator>
  <cp:lastModifiedBy>kv 1057</cp:lastModifiedBy>
  <dcterms:created xsi:type="dcterms:W3CDTF">2026-04-16T11:55:39Z</dcterms:created>
  <dcterms:modified xsi:type="dcterms:W3CDTF">2026-07-14T12:59:57Z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0x01010030432962864B5E41B24EE35C01D14074</vt:lpwstr>
  </property>
</Properties>
</file>